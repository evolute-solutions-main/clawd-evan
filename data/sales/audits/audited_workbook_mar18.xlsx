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576267e9a64ccf" /></Relationships>
</file>

<file path=xl/workbook.xml><?xml version="1.0" encoding="utf-8"?>
<x:workbook xmlns:x="http://schemas.openxmlformats.org/spreadsheetml/2006/main">
  <x:sheets>
    <x:sheet xmlns:r="http://schemas.openxmlformats.org/officeDocument/2006/relationships" name="Data Config" sheetId="1" r:id="Raf42ede744be4bf1"/>
    <x:sheet xmlns:r="http://schemas.openxmlformats.org/officeDocument/2006/relationships" name="Cold SMS EOD Reports (Setters)" sheetId="2" r:id="R815ffd07b99c440c"/>
    <x:sheet xmlns:r="http://schemas.openxmlformats.org/officeDocument/2006/relationships" name="Cold SMS Tracking By Setter" sheetId="3" r:id="Rc3f27f6d7014450f"/>
    <x:sheet xmlns:r="http://schemas.openxmlformats.org/officeDocument/2006/relationships" name="All Booked Calls Data" sheetId="4" r:id="R1ad382422fa04125"/>
    <x:sheet xmlns:r="http://schemas.openxmlformats.org/officeDocument/2006/relationships" name="Data Analysis" sheetId="5" r:id="R860129282cae4853"/>
    <x:sheet xmlns:r="http://schemas.openxmlformats.org/officeDocument/2006/relationships" name="Cold SMS vs. Ads" sheetId="6" r:id="Rb585133790bd40b7"/>
    <x:sheet xmlns:r="http://schemas.openxmlformats.org/officeDocument/2006/relationships" name="Fathom Calls (Feb–Mar18)" sheetId="7" r:id="R6506f9e331924389"/>
    <x:sheet xmlns:r="http://schemas.openxmlformats.org/officeDocument/2006/relationships" name="Fathom Calls — Uncertain Only" sheetId="8" r:id="Rf213f6f49e764cfa"/>
  </x:sheets>
  <x:definedNames>
    <x:definedName name="StartDate">'Data Analysis'!$A$6</x:definedName>
    <x:definedName name="EndDate">'Data Analysis'!$C$6</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m/d/yyyy"/>
    <x:numFmt numFmtId="165" formatCode="M/d/yyyy"/>
    <x:numFmt numFmtId="166" formatCode="dd/MM/yyyy"/>
    <x:numFmt numFmtId="167" formatCode="mm/dd/yyyy"/>
    <x:numFmt numFmtId="168" formatCode="yyyy-mm-dd h:mm:ss"/>
  </x:numFmts>
  <x:fonts count="21">
    <x:font>
      <x:sz val="11"/>
      <x:color theme="1"/>
      <x:name val="Calibri"/>
      <x:scheme val="minor"/>
    </x:font>
    <x:font>
      <x:b/>
      <x:color theme="1"/>
      <x:name val="Calibri"/>
      <x:scheme val="minor"/>
    </x:font>
    <x:font>
      <x:color theme="1"/>
      <x:name val="Calibri"/>
      <x:scheme val="minor"/>
    </x:font>
    <x:font>
      <x:sz val="11"/>
      <x:color rgb="FF344054"/>
      <x:name val="&quot;Inter var&quot;"/>
    </x:font>
    <x:font>
      <x:sz val="11"/>
      <x:color rgb="FF344054"/>
      <x:name val="Roboto"/>
    </x:font>
    <x:font>
      <x:b/>
      <x:sz val="11"/>
      <x:color theme="1"/>
      <x:name val="Calibri"/>
    </x:font>
    <x:font>
      <x:sz val="11"/>
      <x:color theme="1"/>
      <x:name val="Calibri"/>
    </x:font>
    <x:font>
      <x:sz val="11"/>
      <x:color rgb="FF344054"/>
      <x:name val="Inter var"/>
    </x:font>
    <x:font>
      <x:color theme="1"/>
      <x:name val="Arial"/>
    </x:font>
    <x:font>
      <x:sz val="11"/>
      <x:color theme="1"/>
      <x:name val="Arial"/>
    </x:font>
    <x:font>
      <x:sz val="11"/>
      <x:color rgb="FF101828"/>
      <x:name val="Roboto"/>
    </x:font>
    <x:font>
      <x:sz val="11"/>
      <x:color rgb="FF344054"/>
      <x:name val="Arial"/>
    </x:font>
    <x:font>
      <x:sz val="11"/>
      <x:color rgb="FF344054"/>
      <x:name val="-apple-system"/>
    </x:font>
    <x:font>
      <x:b/>
      <x:sz val="11"/>
      <x:color rgb="FF344054"/>
      <x:name val="Arial"/>
    </x:font>
    <x:font>
      <x:sz val="11"/>
      <x:color rgb="FF2A3135"/>
      <x:name val="Roboto"/>
    </x:font>
    <x:font>
      <x:sz val="11"/>
      <x:color rgb="FF344054"/>
      <x:name val="Inter"/>
    </x:font>
    <x:font>
      <x:sz val="12"/>
      <x:color theme="1"/>
      <x:name val="&quot;gg sans&quot;"/>
    </x:font>
    <x:font>
      <x:sz val="11"/>
      <x:color rgb="FF2A3135"/>
      <x:name val="Inter"/>
    </x:font>
    <x:font>
      <x:u val="single"/>
      <x:color rgb="FF0000FF"/>
    </x:font>
    <x:font>
      <x:b/>
      <x:sz val="18"/>
      <x:color theme="1"/>
      <x:name val="Calibri"/>
      <x:scheme val="minor"/>
    </x:font>
    <x:font/>
  </x:fonts>
  <x:fills count="12">
    <x:fill>
      <x:patternFill patternType="none"/>
    </x:fill>
    <x:fill>
      <x:patternFill patternType="lightGray"/>
    </x:fill>
    <x:fill>
      <x:patternFill patternType="solid">
        <x:fgColor rgb="FF999999"/>
      </x:patternFill>
    </x:fill>
    <x:fill>
      <x:patternFill patternType="solid">
        <x:fgColor rgb="FFD9D9D9"/>
      </x:patternFill>
    </x:fill>
    <x:fill>
      <x:patternFill patternType="solid">
        <x:fgColor rgb="FFFFFFFF"/>
      </x:patternFill>
    </x:fill>
    <x:fill>
      <x:patternFill patternType="solid">
        <x:fgColor rgb="FFCCCCCC"/>
      </x:patternFill>
    </x:fill>
    <x:fill>
      <x:patternFill patternType="solid">
        <x:fgColor rgb="FFEAECF0"/>
      </x:patternFill>
    </x:fill>
    <x:fill>
      <x:patternFill patternType="solid">
        <x:fgColor rgb="FFFAFBFC"/>
      </x:patternFill>
    </x:fill>
    <x:fill>
      <x:patternFill patternType="solid">
        <x:fgColor rgb="FFF1F2F5"/>
      </x:patternFill>
    </x:fill>
    <x:fill>
      <x:patternFill patternType="solid">
        <x:fgColor rgb="FF00FF00"/>
      </x:patternFill>
    </x:fill>
    <x:fill>
      <x:patternFill patternType="solid">
        <x:fgColor rgb="FFFF0000"/>
      </x:patternFill>
    </x:fill>
    <x:fill>
      <x:patternFill patternType="solid">
        <x:fgColor rgb="FFB7B7B7"/>
      </x:patternFill>
    </x:fill>
  </x:fills>
  <x:borders count="15">
    <x:border/>
    <x:border>
      <x:bottom style="thin">
        <x:color rgb="FFEFEFF5"/>
      </x:bottom>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right style="thin">
        <x:color rgb="FF000000"/>
      </x:right>
    </x:border>
    <x:border>
      <x:left style="thin">
        <x:color rgb="FF000000"/>
      </x:left>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border>
  </x:borders>
  <x:cellStyleXfs count="1">
    <x:xf numFmtId="0" fontId="0" fillId="0" borderId="0"/>
  </x:cellStyleXfs>
  <x:cellXfs count="134">
    <x:xf numFmtId="0" fontId="0" fillId="0" borderId="0" xfId="0" applyAlignment="1">
      <x:alignment vertical="bottom"/>
    </x:xf>
    <x:xf numFmtId="0" fontId="1" fillId="0" borderId="0" xfId="0"/>
    <x:xf numFmtId="0" fontId="2" fillId="0" borderId="0" xfId="0"/>
    <x:xf numFmtId="0" fontId="1" fillId="0" borderId="1" xfId="0"/>
    <x:xf numFmtId="164" fontId="2" fillId="0" borderId="0" xfId="0"/>
    <x:xf numFmtId="0" fontId="1" fillId="2" borderId="0" xfId="0"/>
    <x:xf numFmtId="0" fontId="3" fillId="0" borderId="0" xfId="0"/>
    <x:xf numFmtId="0" fontId="1" fillId="3" borderId="0" xfId="0"/>
    <x:xf numFmtId="0" fontId="4" fillId="0" borderId="0" xfId="0"/>
    <x:xf numFmtId="0" fontId="3" fillId="0" borderId="1" xfId="0"/>
    <x:xf numFmtId="0" fontId="1" fillId="4" borderId="0" xfId="0"/>
    <x:xf numFmtId="0" fontId="1" fillId="5" borderId="0" xfId="0"/>
    <x:xf numFmtId="0" fontId="2" fillId="0" borderId="1" xfId="0"/>
    <x:xf numFmtId="0" fontId="5" fillId="2" borderId="0" xfId="0" applyAlignment="1">
      <x:alignment vertical="bottom"/>
    </x:xf>
    <x:xf numFmtId="164" fontId="6" fillId="0" borderId="0" xfId="0" applyAlignment="1">
      <x:alignment horizontal="right" vertical="bottom"/>
    </x:xf>
    <x:xf numFmtId="0" fontId="7" fillId="0" borderId="0" xfId="0" applyAlignment="1">
      <x:alignment horizontal="right" vertical="bottom"/>
    </x:xf>
    <x:xf numFmtId="0" fontId="8" fillId="0" borderId="0" xfId="0" applyAlignment="1">
      <x:alignment horizontal="right" vertical="bottom"/>
    </x:xf>
    <x:xf numFmtId="0" fontId="8" fillId="0" borderId="0" xfId="0" applyAlignment="1">
      <x:alignment vertical="bottom"/>
    </x:xf>
    <x:xf numFmtId="0" fontId="5" fillId="3" borderId="0" xfId="0" applyAlignment="1">
      <x:alignment vertical="bottom"/>
    </x:xf>
    <x:xf numFmtId="0" fontId="5" fillId="5" borderId="0" xfId="0" applyAlignment="1">
      <x:alignment vertical="bottom"/>
    </x:xf>
    <x:xf numFmtId="0" fontId="9" fillId="0" borderId="0" xfId="0" applyAlignment="1">
      <x:alignment horizontal="right" vertical="bottom"/>
    </x:xf>
    <x:xf numFmtId="0" fontId="10" fillId="0" borderId="0" xfId="0" applyAlignment="1">
      <x:alignment vertical="bottom"/>
    </x:xf>
    <x:xf numFmtId="0" fontId="9" fillId="0" borderId="0" xfId="0" applyAlignment="1">
      <x:alignment vertical="bottom"/>
    </x:xf>
    <x:xf numFmtId="0" fontId="11" fillId="0" borderId="0" xfId="0" applyAlignment="1">
      <x:alignment horizontal="right" vertical="bottom"/>
    </x:xf>
    <x:xf numFmtId="0" fontId="4" fillId="4" borderId="0" xfId="0" applyAlignment="1">
      <x:alignment horizontal="right" vertical="bottom"/>
    </x:xf>
    <x:xf numFmtId="0" fontId="4" fillId="6" borderId="0" xfId="0" applyAlignment="1">
      <x:alignment horizontal="right" vertical="bottom"/>
    </x:xf>
    <x:xf numFmtId="0" fontId="10" fillId="4" borderId="0" xfId="0" applyAlignment="1">
      <x:alignment vertical="bottom"/>
    </x:xf>
    <x:xf numFmtId="0" fontId="7" fillId="6" borderId="0" xfId="0" applyAlignment="1">
      <x:alignment horizontal="right" vertical="bottom"/>
    </x:xf>
    <x:xf numFmtId="0" fontId="10" fillId="0" borderId="0" xfId="0" applyAlignment="1">
      <x:alignment vertical="bottom"/>
    </x:xf>
    <x:xf numFmtId="0" fontId="10" fillId="4" borderId="0" xfId="0" applyAlignment="1">
      <x:alignment vertical="bottom"/>
    </x:xf>
    <x:xf numFmtId="0" fontId="3" fillId="6" borderId="0" xfId="0"/>
    <x:xf numFmtId="0" fontId="10" fillId="4" borderId="0" xfId="0" applyAlignment="1">
      <x:alignment horizontal="left"/>
    </x:xf>
    <x:xf numFmtId="0" fontId="3" fillId="4" borderId="0" xfId="0"/>
    <x:xf numFmtId="0" fontId="7" fillId="4" borderId="0" xfId="0" applyAlignment="1">
      <x:alignment horizontal="right" vertical="bottom"/>
    </x:xf>
    <x:xf numFmtId="0" fontId="8" fillId="0" borderId="0" xfId="0" applyAlignment="1">
      <x:alignment vertical="bottom"/>
    </x:xf>
    <x:xf numFmtId="0" fontId="7" fillId="7" borderId="0" xfId="0" applyAlignment="1">
      <x:alignment horizontal="right" vertical="bottom"/>
    </x:xf>
    <x:xf numFmtId="0" fontId="11" fillId="6" borderId="0" xfId="0" applyAlignment="1">
      <x:alignment horizontal="right" vertical="bottom"/>
    </x:xf>
    <x:xf numFmtId="0" fontId="7" fillId="8" borderId="0" xfId="0" applyAlignment="1">
      <x:alignment horizontal="right" vertical="bottom"/>
    </x:xf>
    <x:xf numFmtId="0" fontId="4" fillId="6" borderId="0" xfId="0"/>
    <x:xf numFmtId="0" fontId="12" fillId="6" borderId="0" xfId="0" applyAlignment="1">
      <x:alignment horizontal="right" vertical="bottom"/>
    </x:xf>
    <x:xf numFmtId="0" fontId="12" fillId="4" borderId="0" xfId="0" applyAlignment="1">
      <x:alignment horizontal="right" vertical="bottom"/>
    </x:xf>
    <x:xf numFmtId="0" fontId="13" fillId="6" borderId="0" xfId="0" applyAlignment="1">
      <x:alignment vertical="bottom"/>
    </x:xf>
    <x:xf numFmtId="0" fontId="8" fillId="4" borderId="0" xfId="0" applyAlignment="1">
      <x:alignment vertical="bottom"/>
    </x:xf>
    <x:xf numFmtId="0" fontId="13" fillId="6" borderId="0" xfId="0" applyAlignment="1">
      <x:alignment vertical="bottom"/>
    </x:xf>
    <x:xf numFmtId="164" fontId="6" fillId="0" borderId="0" xfId="0" applyAlignment="1">
      <x:alignment horizontal="right" vertical="bottom"/>
    </x:xf>
    <x:xf numFmtId="0" fontId="9" fillId="0" borderId="0" xfId="0" applyAlignment="1">
      <x:alignment horizontal="right" vertical="bottom"/>
    </x:xf>
    <x:xf numFmtId="0" fontId="8" fillId="4" borderId="0" xfId="0" applyAlignment="1">
      <x:alignment vertical="bottom"/>
    </x:xf>
    <x:xf numFmtId="165" fontId="2" fillId="0" borderId="0" xfId="0"/>
    <x:xf numFmtId="0" fontId="2" fillId="0" borderId="0" xfId="0"/>
    <x:xf numFmtId="0" fontId="1" fillId="0" borderId="0" xfId="0"/>
    <x:xf numFmtId="166" fontId="5" fillId="0" borderId="0" xfId="0" applyAlignment="1">
      <x:alignment horizontal="center" vertical="top"/>
    </x:xf>
    <x:xf numFmtId="0" fontId="5" fillId="0" borderId="0" xfId="0" applyAlignment="1">
      <x:alignment horizontal="center" vertical="top"/>
    </x:xf>
    <x:xf numFmtId="0" fontId="5" fillId="0" borderId="0" xfId="0" applyAlignment="1">
      <x:alignment horizontal="center" vertical="top"/>
    </x:xf>
    <x:xf numFmtId="0" fontId="5" fillId="9" borderId="0" xfId="0" applyAlignment="1">
      <x:alignment horizontal="center" vertical="top"/>
    </x:xf>
    <x:xf numFmtId="167" fontId="2" fillId="0" borderId="0" xfId="0"/>
    <x:xf numFmtId="0" fontId="2" fillId="0" borderId="2" xfId="0"/>
    <x:xf numFmtId="0" fontId="2" fillId="9" borderId="2" xfId="0"/>
    <x:xf numFmtId="0" fontId="6" fillId="0" borderId="2" xfId="0"/>
    <x:xf numFmtId="0" fontId="6" fillId="0" borderId="2" xfId="0"/>
    <x:xf numFmtId="0" fontId="2" fillId="0" borderId="2" xfId="0"/>
    <x:xf numFmtId="22" fontId="6" fillId="0" borderId="2" xfId="0"/>
    <x:xf numFmtId="0" fontId="2" fillId="9" borderId="0" xfId="0"/>
    <x:xf numFmtId="0" fontId="6" fillId="0" borderId="0" xfId="0"/>
    <x:xf numFmtId="0" fontId="6" fillId="0" borderId="0" xfId="0"/>
    <x:xf numFmtId="22" fontId="6" fillId="0" borderId="0" xfId="0"/>
    <x:xf numFmtId="0" fontId="6" fillId="0" borderId="0" xfId="0" applyAlignment="1">
      <x:alignment vertical="bottom"/>
    </x:xf>
    <x:xf numFmtId="0" fontId="6" fillId="9" borderId="0" xfId="0" applyAlignment="1">
      <x:alignment vertical="bottom"/>
    </x:xf>
    <x:xf numFmtId="0" fontId="6" fillId="0" borderId="0" xfId="0" applyAlignment="1">
      <x:alignment vertical="bottom"/>
    </x:xf>
    <x:xf numFmtId="0" fontId="6" fillId="9" borderId="0" xfId="0" applyAlignment="1">
      <x:alignment vertical="bottom"/>
    </x:xf>
    <x:xf numFmtId="0" fontId="6" fillId="4" borderId="0" xfId="0"/>
    <x:xf numFmtId="0" fontId="6" fillId="4" borderId="0" xfId="0"/>
    <x:xf numFmtId="0" fontId="14" fillId="4" borderId="0" xfId="0" applyAlignment="1">
      <x:alignment horizontal="left"/>
    </x:xf>
    <x:xf numFmtId="0" fontId="6" fillId="0" borderId="0" xfId="0" applyAlignment="1">
      <x:alignment horizontal="center"/>
    </x:xf>
    <x:xf numFmtId="0" fontId="8" fillId="9" borderId="0" xfId="0" applyAlignment="1">
      <x:alignment vertical="bottom"/>
    </x:xf>
    <x:xf numFmtId="0" fontId="15" fillId="4" borderId="0" xfId="0" applyAlignment="1">
      <x:alignment vertical="bottom"/>
    </x:xf>
    <x:xf numFmtId="164" fontId="8" fillId="0" borderId="0" xfId="0" applyAlignment="1">
      <x:alignment vertical="bottom"/>
    </x:xf>
    <x:xf numFmtId="0" fontId="8" fillId="10" borderId="0" xfId="0" applyAlignment="1">
      <x:alignment vertical="bottom"/>
    </x:xf>
    <x:xf numFmtId="0" fontId="16" fillId="0" borderId="0" xfId="0" applyAlignment="1">
      <x:alignment horizontal="left"/>
    </x:xf>
    <x:xf numFmtId="0" fontId="17" fillId="0" borderId="0" xfId="0" applyAlignment="1">
      <x:alignment vertical="bottom"/>
    </x:xf>
    <x:xf numFmtId="0" fontId="18" fillId="0" borderId="0" xfId="0"/>
    <x:xf numFmtId="22" fontId="2" fillId="0" borderId="0" xfId="0"/>
    <x:xf numFmtId="166" fontId="2" fillId="0" borderId="0" xfId="0"/>
    <x:xf numFmtId="0" fontId="2" fillId="9" borderId="0" xfId="0"/>
    <x:xf numFmtId="0" fontId="19" fillId="0" borderId="3" xfId="0" applyAlignment="1">
      <x:alignment horizontal="center"/>
    </x:xf>
    <x:xf numFmtId="0" fontId="20" fillId="0" borderId="4" xfId="0"/>
    <x:xf numFmtId="0" fontId="20" fillId="0" borderId="5" xfId="0"/>
    <x:xf numFmtId="0" fontId="5" fillId="0" borderId="2" xfId="0" applyAlignment="1">
      <x:alignment horizontal="center" vertical="top"/>
    </x:xf>
    <x:xf numFmtId="0" fontId="20" fillId="0" borderId="6" xfId="0"/>
    <x:xf numFmtId="0" fontId="20" fillId="0" borderId="7" xfId="0"/>
    <x:xf numFmtId="0" fontId="20" fillId="0" borderId="8" xfId="0"/>
    <x:xf numFmtId="0" fontId="6" fillId="0" borderId="9" xfId="0"/>
    <x:xf numFmtId="0" fontId="1" fillId="0" borderId="10" xfId="0" applyAlignment="1">
      <x:alignment horizontal="center"/>
    </x:xf>
    <x:xf numFmtId="0" fontId="20" fillId="0" borderId="9" xfId="0"/>
    <x:xf numFmtId="0" fontId="2" fillId="0" borderId="10" xfId="0"/>
    <x:xf numFmtId="0" fontId="2" fillId="0" borderId="9" xfId="0"/>
    <x:xf numFmtId="0" fontId="1" fillId="0" borderId="10" xfId="0"/>
    <x:xf numFmtId="166" fontId="2" fillId="11" borderId="10" xfId="0"/>
    <x:xf numFmtId="167" fontId="2" fillId="11" borderId="0" xfId="0"/>
    <x:xf numFmtId="0" fontId="5" fillId="0" borderId="11" xfId="0" applyAlignment="1">
      <x:alignment horizontal="center" vertical="top"/>
    </x:xf>
    <x:xf numFmtId="0" fontId="20" fillId="0" borderId="12" xfId="0"/>
    <x:xf numFmtId="0" fontId="2" fillId="0" borderId="13" xfId="0"/>
    <x:xf numFmtId="0" fontId="5" fillId="0" borderId="11" xfId="0" applyAlignment="1">
      <x:alignment horizontal="center" vertical="top"/>
    </x:xf>
    <x:xf numFmtId="10" fontId="2" fillId="0" borderId="13" xfId="0"/>
    <x:xf numFmtId="0" fontId="6" fillId="0" borderId="13" xfId="0" applyAlignment="1">
      <x:alignment horizontal="right" vertical="bottom"/>
    </x:xf>
    <x:xf numFmtId="0" fontId="6" fillId="0" borderId="8" xfId="0"/>
    <x:xf numFmtId="10" fontId="6" fillId="0" borderId="0" xfId="0" applyAlignment="1">
      <x:alignment vertical="bottom"/>
    </x:xf>
    <x:xf numFmtId="10" fontId="2" fillId="0" borderId="0" xfId="0"/>
    <x:xf numFmtId="0" fontId="5" fillId="0" borderId="3" xfId="0" applyAlignment="1">
      <x:alignment horizontal="center" vertical="top"/>
    </x:xf>
    <x:xf numFmtId="0" fontId="5" fillId="0" borderId="2" xfId="0" applyAlignment="1">
      <x:alignment horizontal="center" vertical="top"/>
    </x:xf>
    <x:xf numFmtId="10" fontId="5" fillId="0" borderId="2" xfId="0" applyAlignment="1">
      <x:alignment horizontal="center" vertical="top"/>
    </x:xf>
    <x:xf numFmtId="0" fontId="6" fillId="0" borderId="10" xfId="0"/>
    <x:xf numFmtId="10" fontId="6" fillId="0" borderId="0" xfId="0"/>
    <x:xf numFmtId="167" fontId="2" fillId="0" borderId="9" xfId="0"/>
    <x:xf numFmtId="0" fontId="6" fillId="0" borderId="6" xfId="0"/>
    <x:xf numFmtId="0" fontId="6" fillId="0" borderId="7" xfId="0"/>
    <x:xf numFmtId="10" fontId="6" fillId="0" borderId="7" xfId="0"/>
    <x:xf numFmtId="0" fontId="0" fillId="0" borderId="0" xfId="0"/>
    <x:xf numFmtId="22" fontId="2" fillId="0" borderId="0" xfId="0"/>
    <x:xf numFmtId="0" fontId="19" fillId="0" borderId="2" xfId="0" applyAlignment="1">
      <x:alignment horizontal="center"/>
    </x:xf>
    <x:xf numFmtId="0" fontId="0" fillId="0" borderId="4" xfId="0"/>
    <x:xf numFmtId="0" fontId="0" fillId="0" borderId="5" xfId="0"/>
    <x:xf numFmtId="0" fontId="0" fillId="0" borderId="6" xfId="0"/>
    <x:xf numFmtId="0" fontId="0" fillId="0" borderId="7" xfId="0"/>
    <x:xf numFmtId="0" fontId="0" fillId="0" borderId="8" xfId="0"/>
    <x:xf numFmtId="0" fontId="1" fillId="0" borderId="14" xfId="0" applyAlignment="1">
      <x:alignment horizontal="center"/>
    </x:xf>
    <x:xf numFmtId="0" fontId="0" fillId="0" borderId="9" xfId="0"/>
    <x:xf numFmtId="0" fontId="1" fillId="0" borderId="9" xfId="0"/>
    <x:xf numFmtId="167" fontId="2" fillId="11" borderId="9" xfId="0"/>
    <x:xf numFmtId="0" fontId="0" fillId="0" borderId="12" xfId="0"/>
    <x:xf numFmtId="0" fontId="2" fillId="0" borderId="12" xfId="0"/>
    <x:xf numFmtId="10" fontId="2" fillId="0" borderId="12" xfId="0"/>
    <x:xf numFmtId="0" fontId="6" fillId="0" borderId="12" xfId="0" applyAlignment="1">
      <x:alignment horizontal="right" vertical="bottom"/>
    </x:xf>
    <x:xf numFmtId="168" fontId="1" fillId="0" borderId="14" xfId="0" applyAlignment="1">
      <x:alignment horizontal="center"/>
    </x:xf>
    <x:xf numFmtId="168" fontId="2" fillId="0" borderId="0" xfId="0"/>
  </x:cellXfs>
  <x:cellStyles count="1">
    <x:cellStyle name="Normal" xfId="0"/>
  </x:cellStyles>
  <x:dxfs count="2">
    <x:dxf>
      <x:fill>
        <x:patternFill>
          <x:bgColor rgb="FFFFFF00"/>
        </x:patternFill>
      </x:fill>
      <x:border/>
    </x:dxf>
    <x:dxf>
      <x:fill>
        <x:patternFill>
          <x:bgColor rgb="FFD8D8D8"/>
        </x:patternFill>
      </x:fill>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fe2e44aa2394257" /><Relationship Type="http://schemas.openxmlformats.org/officeDocument/2006/relationships/theme" Target="/xl/theme/theme1.xml" Id="R4dc0935afc0b4726" /><Relationship Type="http://schemas.openxmlformats.org/officeDocument/2006/relationships/sharedStrings" Target="/xl/sharedStrings.xml" Id="R1d1ae7e3e928481a" /><Relationship Type="http://schemas.openxmlformats.org/officeDocument/2006/relationships/worksheet" Target="/xl/worksheets/sheet1.xml" Id="Raf42ede744be4bf1" /><Relationship Type="http://schemas.openxmlformats.org/officeDocument/2006/relationships/worksheet" Target="/xl/worksheets/sheet2.xml" Id="R815ffd07b99c440c" /><Relationship Type="http://schemas.openxmlformats.org/officeDocument/2006/relationships/worksheet" Target="/xl/worksheets/sheet3.xml" Id="Rc3f27f6d7014450f" /><Relationship Type="http://schemas.openxmlformats.org/officeDocument/2006/relationships/worksheet" Target="/xl/worksheets/sheet4.xml" Id="R1ad382422fa04125" /><Relationship Type="http://schemas.openxmlformats.org/officeDocument/2006/relationships/worksheet" Target="/xl/worksheets/sheet5.xml" Id="R860129282cae4853" /><Relationship Type="http://schemas.openxmlformats.org/officeDocument/2006/relationships/worksheet" Target="/xl/worksheets/sheet6.xml" Id="Rb585133790bd40b7" /><Relationship Type="http://schemas.openxmlformats.org/officeDocument/2006/relationships/worksheet" Target="/xl/worksheets/sheet7.xml" Id="R6506f9e331924389" /><Relationship Type="http://schemas.openxmlformats.org/officeDocument/2006/relationships/worksheet" Target="/xl/worksheets/sheet8.xml" Id="Rf213f6f49e764cfa"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ColWidth="14.430000305175781" defaultRowHeight="15"/>
  <x:sheetData>
    <x:row r="1">
      <x:c r="A1" s="49" t="inlineStr">
        <x:is>
          <x:t xml:space="preserve">Setters</x:t>
        </x:is>
      </x:c>
      <x:c r="B1" s="49" t="inlineStr">
        <x:is>
          <x:t xml:space="preserve">Closers</x:t>
        </x:is>
      </x:c>
    </x:row>
    <x:row r="2">
      <x:c r="A2" s="48" t="inlineStr">
        <x:is>
          <x:t xml:space="preserve">Max</x:t>
        </x:is>
      </x:c>
      <x:c r="B2" s="48" t="inlineStr">
        <x:is>
          <x:t xml:space="preserve">Max</x:t>
        </x:is>
      </x:c>
    </x:row>
    <x:row r="3">
      <x:c r="A3" s="48" t="inlineStr">
        <x:is>
          <x:t xml:space="preserve">Daniel Franco</x:t>
        </x:is>
      </x:c>
    </x:row>
    <x:row r="4">
      <x:c r="A4" s="48" t="inlineStr">
        <x:is>
          <x:t xml:space="preserve">Eddie Murillo</x:t>
        </x:is>
      </x:c>
    </x:row>
    <x:row r="5">
      <x:c r="A5" s="48" t="inlineStr">
        <x:is>
          <x:t xml:space="preserve">Randy Nadera</x:t>
        </x:is>
      </x:c>
    </x:row>
    <x:row r="6">
      <x:c r="A6" s="48" t="inlineStr">
        <x:is>
          <x:t xml:space="preserve">Richard Ramilo</x:t>
        </x:is>
      </x:c>
    </x:row>
  </x:sheetData>
  <x:pageMargins left="0.7" right="0.7" top="0.75" bottom="0.75" header="0.3" footer="0.3"/>
</x:worksheet>
</file>

<file path=xl/worksheets/sheet2.xml><?xml version="1.0" encoding="utf-8"?>
<x:worksheet xmlns:x="http://schemas.openxmlformats.org/spreadsheetml/2006/main">
  <x:sheetFormatPr baseColWidth="8" defaultColWidth="14.430000305175781" defaultRowHeight="15"/>
  <x:cols>
    <x:col min="3" max="3" width="18.43000030517578" style="116" customWidth="1"/>
    <x:col min="7" max="7" width="50.13999938964844" style="116" customWidth="1"/>
  </x:cols>
  <x:sheetData>
    <x:row r="1">
      <x:c r="A1" s="49" t="inlineStr">
        <x:is>
          <x:t xml:space="preserve">The data inputs for this sheet are going to be the three, or just the individual set of counts. We're only going to be focusing specifically on the cold SMS EOD reports for now, so you're going to need to be able to run the appointment tracking thing and then export that data into the </x:t>
        </x:is>
      </x:c>
      <x:c r="B1" s="49" t="inlineStr">
        <x:is>
          <x:t xml:space="preserve">Date</x:t>
        </x:is>
      </x:c>
      <x:c r="C1" s="49" t="inlineStr">
        <x:is>
          <x:t xml:space="preserve">Unique Contacts</x:t>
        </x:is>
      </x:c>
      <x:c r="D1" s="3" t="inlineStr">
        <x:is>
          <x:t xml:space="preserve">Dials</x:t>
        </x:is>
      </x:c>
      <x:c r="E1" s="49" t="inlineStr">
        <x:is>
          <x:t xml:space="preserve">Unconfirmed</x:t>
        </x:is>
      </x:c>
      <x:c r="F1" s="49" t="inlineStr">
        <x:is>
          <x:t xml:space="preserve">Confirmed</x:t>
        </x:is>
      </x:c>
      <x:c r="G1" s="49" t="inlineStr">
        <x:is>
          <x:t xml:space="preserve">Notes</x:t>
        </x:is>
      </x:c>
    </x:row>
    <x:row r="2">
      <x:c r="A2" s="49" t="inlineStr">
        <x:is>
          <x:t xml:space="preserve">Daniel</x:t>
        </x:is>
      </x:c>
      <x:c r="B2" s="4" t="n">
        <x:v>46048</x:v>
      </x:c>
      <x:c r="C2" s="48" t="n">
        <x:v>41</x:v>
      </x:c>
      <x:c r="D2" s="48" t="n">
        <x:v>48</x:v>
      </x:c>
      <x:c r="E2" s="48" t="n">
        <x:v>2</x:v>
      </x:c>
      <x:c r="F2" s="48" t="n">
        <x:v>0</x:v>
      </x:c>
      <x:c r="G2" s="48" t="inlineStr">
        <x:is>
          <x:t xml:space="preserve">enrique, william,</x:t>
        </x:is>
      </x:c>
    </x:row>
    <x:row r="3">
      <x:c r="A3" s="49" t="inlineStr">
        <x:is>
          <x:t xml:space="preserve">Eddie</x:t>
        </x:is>
      </x:c>
      <x:c r="B3" s="4" t="n">
        <x:v>46048</x:v>
      </x:c>
      <x:c r="C3" s="48" t="n">
        <x:v>29</x:v>
      </x:c>
      <x:c r="D3" s="48" t="n">
        <x:v>31</x:v>
      </x:c>
      <x:c r="E3" s="48" t="n">
        <x:v>2</x:v>
      </x:c>
      <x:c r="F3" s="48" t="n">
        <x:v>0</x:v>
      </x:c>
      <x:c r="G3" s="48" t="inlineStr">
        <x:is>
          <x:t xml:space="preserve">jaime, alexander</x:t>
        </x:is>
      </x:c>
    </x:row>
    <x:row r="4">
      <x:c r="A4" s="49" t="inlineStr">
        <x:is>
          <x:t xml:space="preserve">Max</x:t>
        </x:is>
      </x:c>
      <x:c r="B4" s="4" t="n">
        <x:v>46048</x:v>
      </x:c>
      <x:c r="C4" s="48" t="n">
        <x:v>4</x:v>
      </x:c>
      <x:c r="D4" s="48" t="n">
        <x:v>5</x:v>
      </x:c>
      <x:c r="E4" s="48" t="n">
        <x:v>1</x:v>
      </x:c>
      <x:c r="F4" s="48" t="n">
        <x:v>0</x:v>
      </x:c>
      <x:c r="G4" s="48" t="inlineStr">
        <x:is>
          <x:t xml:space="preserve">kadeem</x:t>
        </x:is>
      </x:c>
    </x:row>
    <x:row r="5">
      <x:c r="A5" s="49" t="inlineStr">
        <x:is>
          <x:t xml:space="preserve">Randy</x:t>
        </x:is>
      </x:c>
      <x:c r="B5" s="4" t="n">
        <x:v>46048</x:v>
      </x:c>
      <x:c r="C5" s="48" t="n">
        <x:v>70</x:v>
      </x:c>
      <x:c r="D5" s="48" t="n">
        <x:v>123</x:v>
      </x:c>
      <x:c r="E5" s="48" t="n">
        <x:v>2</x:v>
      </x:c>
      <x:c r="F5" s="48" t="n">
        <x:v>0</x:v>
      </x:c>
      <x:c r="G5" s="48" t="inlineStr">
        <x:is>
          <x:t xml:space="preserve">butch, alex</x:t>
        </x:is>
      </x:c>
    </x:row>
    <x:row r="6">
      <x:c r="A6" s="49" t="inlineStr">
        <x:is>
          <x:t xml:space="preserve">Daniel</x:t>
        </x:is>
      </x:c>
      <x:c r="B6" s="4" t="n">
        <x:v>46049</x:v>
      </x:c>
      <x:c r="C6" s="48" t="n">
        <x:v>65</x:v>
      </x:c>
      <x:c r="D6" s="48" t="n">
        <x:v>73</x:v>
      </x:c>
      <x:c r="E6" s="48" t="n">
        <x:v>2</x:v>
      </x:c>
      <x:c r="F6" s="48" t="n">
        <x:v>0</x:v>
      </x:c>
      <x:c r="G6" s="48" t="inlineStr">
        <x:is>
          <x:t xml:space="preserve">ken, </x:t>
        </x:is>
      </x:c>
    </x:row>
    <x:row r="7">
      <x:c r="A7" s="49" t="inlineStr">
        <x:is>
          <x:t xml:space="preserve">Eddie</x:t>
        </x:is>
      </x:c>
      <x:c r="B7" s="4" t="n">
        <x:v>46049</x:v>
      </x:c>
      <x:c r="C7" s="48" t="n">
        <x:v>58</x:v>
      </x:c>
      <x:c r="D7" s="48" t="n">
        <x:v>73</x:v>
      </x:c>
      <x:c r="E7" s="48" t="n">
        <x:v>2</x:v>
      </x:c>
      <x:c r="F7" s="48" t="n">
        <x:v>0</x:v>
      </x:c>
      <x:c r="G7" s="48" t="inlineStr">
        <x:is>
          <x:t xml:space="preserve">angel, sergio</x:t>
        </x:is>
      </x:c>
    </x:row>
    <x:row r="8">
      <x:c r="A8" s="49" t="inlineStr">
        <x:is>
          <x:t xml:space="preserve">Randy</x:t>
        </x:is>
      </x:c>
      <x:c r="B8" s="4" t="n">
        <x:v>46049</x:v>
      </x:c>
      <x:c r="C8" s="48" t="n">
        <x:v>34</x:v>
      </x:c>
      <x:c r="D8" s="48" t="n">
        <x:v>66</x:v>
      </x:c>
      <x:c r="E8" s="48" t="n">
        <x:v>3</x:v>
      </x:c>
      <x:c r="F8" s="48" t="n">
        <x:v>1</x:v>
      </x:c>
      <x:c r="G8" s="48" t="inlineStr">
        <x:is>
          <x:t xml:space="preserve">tavis, francisco, jahniel</x:t>
        </x:is>
      </x:c>
    </x:row>
    <x:row r="9">
      <x:c r="A9" s="5" t="inlineStr">
        <x:is>
          <x:t xml:space="preserve">Daniel</x:t>
        </x:is>
      </x:c>
      <x:c r="B9" s="4" t="n">
        <x:v>46050</x:v>
      </x:c>
      <x:c r="C9" s="6" t="n">
        <x:v>98</x:v>
      </x:c>
      <x:c r="D9" s="6" t="n">
        <x:v>110</x:v>
      </x:c>
      <x:c r="E9" s="48" t="n">
        <x:v>3</x:v>
      </x:c>
      <x:c r="F9" s="48" t="n">
        <x:v>2</x:v>
      </x:c>
      <x:c r="G9" s="48" t="inlineStr">
        <x:is>
          <x:t xml:space="preserve">Luis, Bryan, Andre, gloria, Juan</x:t>
        </x:is>
      </x:c>
    </x:row>
    <x:row r="10">
      <x:c r="A10" s="7" t="inlineStr">
        <x:is>
          <x:t xml:space="preserve">Eddie</x:t>
        </x:is>
      </x:c>
      <x:c r="B10" s="4" t="n">
        <x:v>46050</x:v>
      </x:c>
      <x:c r="C10" s="8" t="n">
        <x:v>38</x:v>
      </x:c>
      <x:c r="D10" s="6" t="n">
        <x:v>47</x:v>
      </x:c>
      <x:c r="E10" s="48" t="n">
        <x:v>5</x:v>
      </x:c>
      <x:c r="F10" s="48" t="n">
        <x:v>0</x:v>
      </x:c>
      <x:c r="G10" s="48" t="inlineStr">
        <x:is>
          <x:t xml:space="preserve">Jenny, egor, peter, james</x:t>
        </x:is>
      </x:c>
    </x:row>
    <x:row r="11">
      <x:c r="A11" s="49" t="inlineStr">
        <x:is>
          <x:t xml:space="preserve">Max</x:t>
        </x:is>
      </x:c>
      <x:c r="B11" s="4" t="n">
        <x:v>46050</x:v>
      </x:c>
      <x:c r="C11" s="48" t="n">
        <x:v>2</x:v>
      </x:c>
      <x:c r="D11" s="48" t="n">
        <x:v>4</x:v>
      </x:c>
      <x:c r="E11" s="48" t="n">
        <x:v>0</x:v>
      </x:c>
      <x:c r="F11" s="48" t="n">
        <x:v>1</x:v>
      </x:c>
      <x:c r="G11" s="48" t="inlineStr">
        <x:is>
          <x:t xml:space="preserve">Vanessa</x:t>
        </x:is>
      </x:c>
    </x:row>
    <x:row r="12">
      <x:c r="A12" s="7" t="inlineStr">
        <x:is>
          <x:t xml:space="preserve">Randy</x:t>
        </x:is>
      </x:c>
      <x:c r="B12" s="4" t="n">
        <x:v>46050</x:v>
      </x:c>
      <x:c r="C12" s="9" t="n">
        <x:v>50</x:v>
      </x:c>
      <x:c r="D12" s="6" t="n">
        <x:v>96</x:v>
      </x:c>
      <x:c r="E12" s="48" t="n">
        <x:v>2</x:v>
      </x:c>
      <x:c r="F12" s="48" t="n">
        <x:v>0</x:v>
      </x:c>
      <x:c r="G12" s="48" t="inlineStr">
        <x:is>
          <x:t xml:space="preserve">Jay, alston</x:t>
        </x:is>
      </x:c>
    </x:row>
    <x:row r="13">
      <x:c r="A13" s="5" t="inlineStr">
        <x:is>
          <x:t xml:space="preserve">Daniel</x:t>
        </x:is>
      </x:c>
      <x:c r="B13" s="4" t="n">
        <x:v>46051</x:v>
      </x:c>
      <x:c r="C13" s="48" t="n">
        <x:v>76</x:v>
      </x:c>
      <x:c r="D13" s="48" t="n">
        <x:v>91</x:v>
      </x:c>
      <x:c r="E13" s="48" t="n">
        <x:v>0</x:v>
      </x:c>
      <x:c r="F13" s="48" t="n">
        <x:v>1</x:v>
      </x:c>
      <x:c r="G13" s="48" t="inlineStr">
        <x:is>
          <x:t xml:space="preserve">mike</x:t>
        </x:is>
      </x:c>
    </x:row>
    <x:row r="14">
      <x:c r="A14" s="7" t="inlineStr">
        <x:is>
          <x:t xml:space="preserve">Eddie</x:t>
        </x:is>
      </x:c>
      <x:c r="B14" s="4" t="n">
        <x:v>46051</x:v>
      </x:c>
      <x:c r="C14" s="8" t="n">
        <x:v>30</x:v>
      </x:c>
      <x:c r="D14" s="48" t="n">
        <x:v>42</x:v>
      </x:c>
      <x:c r="E14" s="48" t="n">
        <x:v>3</x:v>
      </x:c>
      <x:c r="F14" s="48" t="n">
        <x:v>0</x:v>
      </x:c>
      <x:c r="G14" s="48" t="inlineStr">
        <x:is>
          <x:t xml:space="preserve">scot, martin, alfonso</x:t>
        </x:is>
      </x:c>
    </x:row>
    <x:row r="15">
      <x:c r="A15" s="10" t="inlineStr">
        <x:is>
          <x:t xml:space="preserve">Max</x:t>
        </x:is>
      </x:c>
      <x:c r="B15" s="4" t="n">
        <x:v>46051</x:v>
      </x:c>
      <x:c r="C15" s="8" t="n">
        <x:v>29</x:v>
      </x:c>
      <x:c r="D15" s="8" t="n">
        <x:v>41</x:v>
      </x:c>
      <x:c r="E15" s="48" t="n">
        <x:v>1</x:v>
      </x:c>
      <x:c r="F15" s="48" t="n">
        <x:v>0</x:v>
      </x:c>
      <x:c r="G15" s="48" t="inlineStr">
        <x:is>
          <x:t xml:space="preserve">Renaissance</x:t>
        </x:is>
      </x:c>
    </x:row>
    <x:row r="16">
      <x:c r="A16" s="11" t="inlineStr">
        <x:is>
          <x:t xml:space="preserve">Randy</x:t>
        </x:is>
      </x:c>
      <x:c r="B16" s="4" t="n">
        <x:v>46051</x:v>
      </x:c>
      <x:c r="C16" s="8" t="n">
        <x:v>55</x:v>
      </x:c>
      <x:c r="D16" s="8" t="n">
        <x:v>98</x:v>
      </x:c>
      <x:c r="E16" s="48" t="n">
        <x:v>4</x:v>
      </x:c>
      <x:c r="F16" s="48" t="n">
        <x:v>1</x:v>
      </x:c>
      <x:c r="G16" s="48" t="inlineStr">
        <x:is>
          <x:t xml:space="preserve">Eric, Morgan, Pedro, Julio, Joe</x:t>
        </x:is>
      </x:c>
    </x:row>
    <x:row r="17">
      <x:c r="A17" s="5" t="inlineStr">
        <x:is>
          <x:t xml:space="preserve">Daniel</x:t>
        </x:is>
      </x:c>
      <x:c r="B17" s="4" t="n">
        <x:v>46052</x:v>
      </x:c>
      <x:c r="C17" s="48" t="n">
        <x:v>90</x:v>
      </x:c>
      <x:c r="D17" s="48" t="n">
        <x:v>101</x:v>
      </x:c>
      <x:c r="E17" s="48" t="n">
        <x:v>4</x:v>
      </x:c>
      <x:c r="F17" s="48" t="n">
        <x:v>3</x:v>
      </x:c>
      <x:c r="G17" s="48" t="inlineStr">
        <x:is>
          <x:t xml:space="preserve">Micheael, Sheldon, Antony, Adolfo, Danilo, Carlos, Tony</x:t>
        </x:is>
      </x:c>
    </x:row>
    <x:row r="18">
      <x:c r="A18" s="7" t="inlineStr">
        <x:is>
          <x:t xml:space="preserve">Eddie</x:t>
        </x:is>
      </x:c>
      <x:c r="B18" s="4" t="n">
        <x:v>46052</x:v>
      </x:c>
      <x:c r="C18" s="12" t="n">
        <x:v>55</x:v>
      </x:c>
      <x:c r="D18" s="48" t="n">
        <x:v>61</x:v>
      </x:c>
      <x:c r="E18" s="48" t="n">
        <x:v>5</x:v>
      </x:c>
      <x:c r="F18" s="48" t="n">
        <x:v>0</x:v>
      </x:c>
      <x:c r="G18" s="48" t="inlineStr">
        <x:is>
          <x:t xml:space="preserve">Torrez, David Silva, Emilio, Curtis, Roger</x:t>
        </x:is>
      </x:c>
    </x:row>
    <x:row r="19">
      <x:c r="A19" s="11" t="inlineStr">
        <x:is>
          <x:t xml:space="preserve">Randy</x:t>
        </x:is>
      </x:c>
      <x:c r="B19" s="4" t="n">
        <x:v>46052</x:v>
      </x:c>
      <x:c r="C19" s="48" t="n">
        <x:v>49</x:v>
      </x:c>
      <x:c r="D19" s="48" t="n">
        <x:v>91</x:v>
      </x:c>
      <x:c r="E19" s="48" t="n">
        <x:v>3</x:v>
      </x:c>
      <x:c r="F19" s="48" t="n">
        <x:v>1</x:v>
      </x:c>
      <x:c r="G19" s="48" t="inlineStr">
        <x:is>
          <x:t xml:space="preserve">Justin, Harley, Mario, David Mackey</x:t>
        </x:is>
      </x:c>
    </x:row>
    <x:row r="20">
      <x:c r="A20" s="5" t="inlineStr">
        <x:is>
          <x:t xml:space="preserve">Daniel</x:t>
        </x:is>
      </x:c>
      <x:c r="B20" s="4" t="n">
        <x:v>46055</x:v>
      </x:c>
      <x:c r="C20" s="8" t="n">
        <x:v>89</x:v>
      </x:c>
      <x:c r="D20" s="8" t="n">
        <x:v>108</x:v>
      </x:c>
      <x:c r="E20" s="48" t="n">
        <x:v>4</x:v>
      </x:c>
      <x:c r="F20" s="48" t="n">
        <x:v>1</x:v>
      </x:c>
      <x:c r="G20" s="48" t="inlineStr">
        <x:is>
          <x:t xml:space="preserve">Oluwashe, Jimy, Jordan, Cesar, Tim</x:t>
        </x:is>
      </x:c>
    </x:row>
    <x:row r="21">
      <x:c r="A21" s="7" t="inlineStr">
        <x:is>
          <x:t xml:space="preserve">Eddie</x:t>
        </x:is>
      </x:c>
      <x:c r="B21" s="4" t="n">
        <x:v>46055</x:v>
      </x:c>
      <x:c r="C21" s="8" t="n">
        <x:v>43</x:v>
      </x:c>
      <x:c r="D21" s="8" t="n">
        <x:v>55</x:v>
      </x:c>
      <x:c r="E21" s="48" t="n">
        <x:v>3</x:v>
      </x:c>
      <x:c r="F21" s="48" t="n">
        <x:v>2</x:v>
      </x:c>
      <x:c r="G21" s="48" t="inlineStr">
        <x:is>
          <x:t xml:space="preserve">Joel, George, Esdra, Nathaniel, Michael</x:t>
        </x:is>
      </x:c>
    </x:row>
    <x:row r="22">
      <x:c r="A22" s="11" t="inlineStr">
        <x:is>
          <x:t xml:space="preserve">Randy</x:t>
        </x:is>
      </x:c>
      <x:c r="B22" s="4" t="n">
        <x:v>46055</x:v>
      </x:c>
      <x:c r="C22" s="8" t="n">
        <x:v>61</x:v>
      </x:c>
      <x:c r="D22" s="8" t="n">
        <x:v>107</x:v>
      </x:c>
      <x:c r="E22" s="48" t="n">
        <x:v>4</x:v>
      </x:c>
      <x:c r="F22" s="48" t="n">
        <x:v>0</x:v>
      </x:c>
      <x:c r="G22" s="48" t="inlineStr">
        <x:is>
          <x:t xml:space="preserve">Jennifer, Emad, Joseph, Max Construction</x:t>
        </x:is>
      </x:c>
    </x:row>
    <x:row r="23">
      <x:c r="A23" s="5" t="inlineStr">
        <x:is>
          <x:t xml:space="preserve">Daniel</x:t>
        </x:is>
      </x:c>
      <x:c r="B23" s="4" t="n">
        <x:v>46056</x:v>
      </x:c>
      <x:c r="C23" s="48" t="n">
        <x:v>43</x:v>
      </x:c>
      <x:c r="D23" s="48" t="n">
        <x:v>50</x:v>
      </x:c>
      <x:c r="E23" s="48" t="n">
        <x:v>1</x:v>
      </x:c>
      <x:c r="G23" s="48" t="inlineStr">
        <x:is>
          <x:t xml:space="preserve">Ronny, </x:t>
        </x:is>
      </x:c>
    </x:row>
    <x:row r="24">
      <x:c r="A24" s="7" t="inlineStr">
        <x:is>
          <x:t xml:space="preserve">Eddie</x:t>
        </x:is>
      </x:c>
      <x:c r="B24" s="4" t="n">
        <x:v>46056</x:v>
      </x:c>
      <x:c r="C24" s="48" t="n">
        <x:v>30</x:v>
      </x:c>
      <x:c r="D24" s="48" t="n">
        <x:v>33</x:v>
      </x:c>
      <x:c r="E24" s="48" t="n">
        <x:v>2</x:v>
      </x:c>
      <x:c r="F24" s="48" t="n">
        <x:v>1</x:v>
      </x:c>
      <x:c r="G24" s="48" t="inlineStr">
        <x:is>
          <x:t xml:space="preserve">Fenelon, Ernesto, William</x:t>
        </x:is>
      </x:c>
    </x:row>
    <x:row r="25">
      <x:c r="A25" s="11" t="inlineStr">
        <x:is>
          <x:t xml:space="preserve">Randy</x:t>
        </x:is>
      </x:c>
      <x:c r="B25" s="4" t="n">
        <x:v>46056</x:v>
      </x:c>
      <x:c r="C25" s="48" t="n">
        <x:v>44</x:v>
      </x:c>
      <x:c r="D25" s="48" t="n">
        <x:v>80</x:v>
      </x:c>
      <x:c r="E25" s="48" t="n">
        <x:v>1</x:v>
      </x:c>
      <x:c r="F25" s="48" t="n">
        <x:v>2</x:v>
      </x:c>
      <x:c r="G25" s="48" t="inlineStr">
        <x:is>
          <x:t xml:space="preserve">Pedro Inc, Ivan, Kfir Segev</x:t>
        </x:is>
      </x:c>
    </x:row>
    <x:row r="26">
      <x:c r="A26" s="13" t="inlineStr">
        <x:is>
          <x:t xml:space="preserve">Daniel</x:t>
        </x:is>
      </x:c>
      <x:c r="B26" s="44" t="n">
        <x:v>46057</x:v>
      </x:c>
      <x:c r="C26" s="15" t="n">
        <x:v>56</x:v>
      </x:c>
      <x:c r="D26" s="15" t="n">
        <x:v>69</x:v>
      </x:c>
      <x:c r="E26" s="16" t="n">
        <x:v>1</x:v>
      </x:c>
      <x:c r="F26" s="16" t="n">
        <x:v>2</x:v>
      </x:c>
      <x:c r="G26" s="34" t="inlineStr">
        <x:is>
          <x:t xml:space="preserve">Oscar, Kevin, Linda</x:t>
        </x:is>
      </x:c>
      <x:c r="H26" s="34" t="n"/>
      <x:c r="I26" s="34" t="n"/>
      <x:c r="J26" s="34" t="n"/>
      <x:c r="K26" s="34" t="n"/>
      <x:c r="L26" s="34" t="n"/>
      <x:c r="M26" s="34" t="n"/>
      <x:c r="N26" s="34" t="n"/>
      <x:c r="O26" s="34" t="n"/>
      <x:c r="P26" s="34" t="n"/>
      <x:c r="Q26" s="34" t="n"/>
      <x:c r="R26" s="34" t="n"/>
      <x:c r="S26" s="34" t="n"/>
      <x:c r="T26" s="34" t="n"/>
      <x:c r="U26" s="34" t="n"/>
      <x:c r="V26" s="34" t="n"/>
      <x:c r="W26" s="34" t="n"/>
      <x:c r="X26" s="34" t="n"/>
      <x:c r="Y26" s="34" t="n"/>
      <x:c r="Z26" s="34" t="n"/>
      <x:c r="AA26" s="34" t="n"/>
      <x:c r="AB26" s="34" t="n"/>
      <x:c r="AC26" s="34" t="n"/>
      <x:c r="AD26" s="34" t="n"/>
      <x:c r="AE26" s="34" t="n"/>
      <x:c r="AF26" s="34" t="n"/>
      <x:c r="AG26" s="34" t="n"/>
      <x:c r="AH26" s="34" t="n"/>
      <x:c r="AI26" s="34" t="n"/>
      <x:c r="AJ26" s="34" t="n"/>
      <x:c r="AK26" s="34" t="n"/>
      <x:c r="AL26" s="34" t="n"/>
      <x:c r="AM26" s="34" t="n"/>
      <x:c r="AN26" s="34" t="n"/>
      <x:c r="AO26" s="34" t="n"/>
      <x:c r="AP26" s="34" t="n"/>
      <x:c r="AQ26" s="34" t="n"/>
      <x:c r="AR26" s="34" t="n"/>
    </x:row>
    <x:row r="27">
      <x:c r="A27" s="18" t="inlineStr">
        <x:is>
          <x:t xml:space="preserve">Eddie</x:t>
        </x:is>
      </x:c>
      <x:c r="B27" s="44" t="n">
        <x:v>46057</x:v>
      </x:c>
      <x:c r="C27" s="15" t="n">
        <x:v>36</x:v>
      </x:c>
      <x:c r="D27" s="15" t="n">
        <x:v>39</x:v>
      </x:c>
      <x:c r="E27" s="16" t="n">
        <x:v>2</x:v>
      </x:c>
      <x:c r="F27" s="16" t="n">
        <x:v>3</x:v>
      </x:c>
      <x:c r="G27" s="34" t="inlineStr">
        <x:is>
          <x:t xml:space="preserve">Willy, mike, John, Jacob, Cesar</x:t>
        </x:is>
      </x:c>
      <x:c r="H27" s="34" t="n"/>
      <x:c r="I27" s="34" t="n"/>
      <x:c r="J27" s="34" t="n"/>
      <x:c r="K27" s="34" t="n"/>
      <x:c r="L27" s="34" t="n"/>
      <x:c r="M27" s="34" t="n"/>
      <x:c r="N27" s="34" t="n"/>
      <x:c r="O27" s="34" t="n"/>
      <x:c r="P27" s="34" t="n"/>
      <x:c r="Q27" s="34" t="n"/>
      <x:c r="R27" s="34" t="n"/>
      <x:c r="S27" s="34" t="n"/>
      <x:c r="T27" s="34" t="n"/>
      <x:c r="U27" s="34" t="n"/>
      <x:c r="V27" s="34" t="n"/>
      <x:c r="W27" s="34" t="n"/>
      <x:c r="X27" s="34" t="n"/>
      <x:c r="Y27" s="34" t="n"/>
      <x:c r="Z27" s="34" t="n"/>
      <x:c r="AA27" s="34" t="n"/>
      <x:c r="AB27" s="34" t="n"/>
      <x:c r="AC27" s="34" t="n"/>
      <x:c r="AD27" s="34" t="n"/>
      <x:c r="AE27" s="34" t="n"/>
      <x:c r="AF27" s="34" t="n"/>
      <x:c r="AG27" s="34" t="n"/>
      <x:c r="AH27" s="34" t="n"/>
      <x:c r="AI27" s="34" t="n"/>
      <x:c r="AJ27" s="34" t="n"/>
      <x:c r="AK27" s="34" t="n"/>
      <x:c r="AL27" s="34" t="n"/>
      <x:c r="AM27" s="34" t="n"/>
      <x:c r="AN27" s="34" t="n"/>
      <x:c r="AO27" s="34" t="n"/>
      <x:c r="AP27" s="34" t="n"/>
      <x:c r="AQ27" s="34" t="n"/>
      <x:c r="AR27" s="34" t="n"/>
    </x:row>
    <x:row r="28">
      <x:c r="A28" s="19" t="inlineStr">
        <x:is>
          <x:t xml:space="preserve">Randy</x:t>
        </x:is>
      </x:c>
      <x:c r="B28" s="44" t="n">
        <x:v>46057</x:v>
      </x:c>
      <x:c r="C28" s="15" t="n">
        <x:v>24</x:v>
      </x:c>
      <x:c r="D28" s="15" t="n">
        <x:v>50</x:v>
      </x:c>
      <x:c r="E28" s="16" t="n">
        <x:v>2</x:v>
      </x:c>
      <x:c r="F28" s="16" t="n">
        <x:v>1</x:v>
      </x:c>
      <x:c r="G28" s="34" t="inlineStr">
        <x:is>
          <x:t xml:space="preserve">Bill, Hugh, TJ Maintenance</x:t>
        </x:is>
      </x:c>
      <x:c r="H28" s="34" t="n"/>
      <x:c r="I28" s="34" t="n"/>
      <x:c r="J28" s="34" t="n"/>
      <x:c r="K28" s="34" t="n"/>
      <x:c r="L28" s="34" t="n"/>
      <x:c r="M28" s="34" t="n"/>
      <x:c r="N28" s="34" t="n"/>
      <x:c r="O28" s="34" t="n"/>
      <x:c r="P28" s="34" t="n"/>
      <x:c r="Q28" s="34" t="n"/>
      <x:c r="R28" s="34" t="n"/>
      <x:c r="S28" s="34" t="n"/>
      <x:c r="T28" s="34" t="n"/>
      <x:c r="U28" s="34" t="n"/>
      <x:c r="V28" s="34" t="n"/>
      <x:c r="W28" s="34" t="n"/>
      <x:c r="X28" s="34" t="n"/>
      <x:c r="Y28" s="34" t="n"/>
      <x:c r="Z28" s="34" t="n"/>
      <x:c r="AA28" s="34" t="n"/>
      <x:c r="AB28" s="34" t="n"/>
      <x:c r="AC28" s="34" t="n"/>
      <x:c r="AD28" s="34" t="n"/>
      <x:c r="AE28" s="34" t="n"/>
      <x:c r="AF28" s="34" t="n"/>
      <x:c r="AG28" s="34" t="n"/>
      <x:c r="AH28" s="34" t="n"/>
      <x:c r="AI28" s="34" t="n"/>
      <x:c r="AJ28" s="34" t="n"/>
      <x:c r="AK28" s="34" t="n"/>
      <x:c r="AL28" s="34" t="n"/>
      <x:c r="AM28" s="34" t="n"/>
      <x:c r="AN28" s="34" t="n"/>
      <x:c r="AO28" s="34" t="n"/>
      <x:c r="AP28" s="34" t="n"/>
      <x:c r="AQ28" s="34" t="n"/>
      <x:c r="AR28" s="34" t="n"/>
    </x:row>
    <x:row r="29">
      <x:c r="A29" s="13" t="inlineStr">
        <x:is>
          <x:t xml:space="preserve">Daniel</x:t>
        </x:is>
      </x:c>
      <x:c r="B29" s="44" t="n">
        <x:v>46058</x:v>
      </x:c>
      <x:c r="C29" s="15" t="n">
        <x:v>54</x:v>
      </x:c>
      <x:c r="D29" s="15" t="n">
        <x:v>60</x:v>
      </x:c>
      <x:c r="E29" s="45" t="n">
        <x:v>3</x:v>
      </x:c>
      <x:c r="F29" s="45" t="n">
        <x:v>1</x:v>
      </x:c>
      <x:c r="G29" s="28" t="inlineStr">
        <x:is>
          <x:t xml:space="preserve">info@lowcountryconstructionllc.com, Laszlo, Anthony, Ellis</x:t>
        </x:is>
      </x:c>
      <x:c r="H29" s="34" t="n"/>
      <x:c r="I29" s="34" t="n"/>
      <x:c r="J29" s="34" t="n"/>
      <x:c r="K29" s="34" t="n"/>
      <x:c r="L29" s="34" t="n"/>
      <x:c r="M29" s="34" t="n"/>
      <x:c r="N29" s="34" t="n"/>
      <x:c r="O29" s="34" t="n"/>
      <x:c r="P29" s="34" t="n"/>
      <x:c r="Q29" s="34" t="n"/>
      <x:c r="R29" s="34" t="n"/>
      <x:c r="S29" s="34" t="n"/>
      <x:c r="T29" s="34" t="n"/>
      <x:c r="U29" s="34" t="n"/>
      <x:c r="V29" s="34" t="n"/>
      <x:c r="W29" s="34" t="n"/>
      <x:c r="X29" s="34" t="n"/>
      <x:c r="Y29" s="34" t="n"/>
      <x:c r="Z29" s="34" t="n"/>
      <x:c r="AA29" s="34" t="n"/>
      <x:c r="AB29" s="34" t="n"/>
      <x:c r="AC29" s="34" t="n"/>
      <x:c r="AD29" s="34" t="n"/>
      <x:c r="AE29" s="34" t="n"/>
      <x:c r="AF29" s="34" t="n"/>
      <x:c r="AG29" s="34" t="n"/>
      <x:c r="AH29" s="34" t="n"/>
      <x:c r="AI29" s="34" t="n"/>
      <x:c r="AJ29" s="34" t="n"/>
      <x:c r="AK29" s="34" t="n"/>
      <x:c r="AL29" s="34" t="n"/>
      <x:c r="AM29" s="34" t="n"/>
      <x:c r="AN29" s="34" t="n"/>
      <x:c r="AO29" s="34" t="n"/>
      <x:c r="AP29" s="34" t="n"/>
      <x:c r="AQ29" s="34" t="n"/>
      <x:c r="AR29" s="34" t="n"/>
    </x:row>
    <x:row r="30">
      <x:c r="A30" s="18" t="inlineStr">
        <x:is>
          <x:t xml:space="preserve">Eddie</x:t>
        </x:is>
      </x:c>
      <x:c r="B30" s="44" t="n">
        <x:v>46058</x:v>
      </x:c>
      <x:c r="C30" s="15" t="n">
        <x:v>45</x:v>
      </x:c>
      <x:c r="D30" s="15" t="n">
        <x:v>52</x:v>
      </x:c>
      <x:c r="E30" s="45" t="n">
        <x:v>1</x:v>
      </x:c>
      <x:c r="F30" s="45" t="n">
        <x:v>0</x:v>
      </x:c>
      <x:c r="G30" s="22" t="inlineStr">
        <x:is>
          <x:t xml:space="preserve">David, </x:t>
        </x:is>
      </x:c>
      <x:c r="H30" s="34" t="n"/>
      <x:c r="I30" s="34" t="n"/>
      <x:c r="J30" s="34" t="n"/>
      <x:c r="K30" s="34" t="n"/>
      <x:c r="L30" s="34" t="n"/>
      <x:c r="M30" s="34" t="n"/>
      <x:c r="N30" s="34" t="n"/>
      <x:c r="O30" s="34" t="n"/>
      <x:c r="P30" s="34" t="n"/>
      <x:c r="Q30" s="34" t="n"/>
      <x:c r="R30" s="34" t="n"/>
      <x:c r="S30" s="34" t="n"/>
      <x:c r="T30" s="34" t="n"/>
      <x:c r="U30" s="34" t="n"/>
      <x:c r="V30" s="34" t="n"/>
      <x:c r="W30" s="34" t="n"/>
      <x:c r="X30" s="34" t="n"/>
      <x:c r="Y30" s="34" t="n"/>
      <x:c r="Z30" s="34" t="n"/>
      <x:c r="AA30" s="34" t="n"/>
      <x:c r="AB30" s="34" t="n"/>
      <x:c r="AC30" s="34" t="n"/>
      <x:c r="AD30" s="34" t="n"/>
      <x:c r="AE30" s="34" t="n"/>
      <x:c r="AF30" s="34" t="n"/>
      <x:c r="AG30" s="34" t="n"/>
      <x:c r="AH30" s="34" t="n"/>
      <x:c r="AI30" s="34" t="n"/>
      <x:c r="AJ30" s="34" t="n"/>
      <x:c r="AK30" s="34" t="n"/>
      <x:c r="AL30" s="34" t="n"/>
      <x:c r="AM30" s="34" t="n"/>
      <x:c r="AN30" s="34" t="n"/>
      <x:c r="AO30" s="34" t="n"/>
      <x:c r="AP30" s="34" t="n"/>
      <x:c r="AQ30" s="34" t="n"/>
      <x:c r="AR30" s="34" t="n"/>
    </x:row>
    <x:row r="31">
      <x:c r="A31" s="19" t="inlineStr">
        <x:is>
          <x:t xml:space="preserve">Randy</x:t>
        </x:is>
      </x:c>
      <x:c r="B31" s="44" t="n">
        <x:v>46058</x:v>
      </x:c>
      <x:c r="C31" s="15" t="n">
        <x:v>33</x:v>
      </x:c>
      <x:c r="D31" s="15" t="n">
        <x:v>74</x:v>
      </x:c>
      <x:c r="E31" s="45" t="n">
        <x:v>1</x:v>
      </x:c>
      <x:c r="F31" s="45" t="n">
        <x:v>2</x:v>
      </x:c>
      <x:c r="G31" s="28" t="inlineStr">
        <x:is>
          <x:t xml:space="preserve">Willian, Rodney, Kennedy</x:t>
        </x:is>
      </x:c>
      <x:c r="H31" s="34" t="n"/>
      <x:c r="I31" s="34" t="n"/>
      <x:c r="J31" s="34" t="n"/>
      <x:c r="K31" s="34" t="n"/>
      <x:c r="L31" s="34" t="n"/>
      <x:c r="M31" s="34" t="n"/>
      <x:c r="N31" s="34" t="n"/>
      <x:c r="O31" s="34" t="n"/>
      <x:c r="P31" s="34" t="n"/>
      <x:c r="Q31" s="34" t="n"/>
      <x:c r="R31" s="34" t="n"/>
      <x:c r="S31" s="34" t="n"/>
      <x:c r="T31" s="34" t="n"/>
      <x:c r="U31" s="34" t="n"/>
      <x:c r="V31" s="34" t="n"/>
      <x:c r="W31" s="34" t="n"/>
      <x:c r="X31" s="34" t="n"/>
      <x:c r="Y31" s="34" t="n"/>
      <x:c r="Z31" s="34" t="n"/>
      <x:c r="AA31" s="34" t="n"/>
      <x:c r="AB31" s="34" t="n"/>
      <x:c r="AC31" s="34" t="n"/>
      <x:c r="AD31" s="34" t="n"/>
      <x:c r="AE31" s="34" t="n"/>
      <x:c r="AF31" s="34" t="n"/>
      <x:c r="AG31" s="34" t="n"/>
      <x:c r="AH31" s="34" t="n"/>
      <x:c r="AI31" s="34" t="n"/>
      <x:c r="AJ31" s="34" t="n"/>
      <x:c r="AK31" s="34" t="n"/>
      <x:c r="AL31" s="34" t="n"/>
      <x:c r="AM31" s="34" t="n"/>
      <x:c r="AN31" s="34" t="n"/>
      <x:c r="AO31" s="34" t="n"/>
      <x:c r="AP31" s="34" t="n"/>
      <x:c r="AQ31" s="34" t="n"/>
      <x:c r="AR31" s="34" t="n"/>
    </x:row>
    <x:row r="32">
      <x:c r="A32" s="13" t="inlineStr">
        <x:is>
          <x:t xml:space="preserve">Daniel</x:t>
        </x:is>
      </x:c>
      <x:c r="B32" s="44" t="n">
        <x:v>46059</x:v>
      </x:c>
      <x:c r="C32" s="15" t="n">
        <x:v>65</x:v>
      </x:c>
      <x:c r="D32" s="15" t="n">
        <x:v>70</x:v>
      </x:c>
      <x:c r="E32" s="45" t="n">
        <x:v>4</x:v>
      </x:c>
      <x:c r="F32" s="45" t="n">
        <x:v>1</x:v>
      </x:c>
      <x:c r="G32" s="28" t="inlineStr">
        <x:is>
          <x:t xml:space="preserve">Nathan, Linda, Gary, Mark, Kenny Remodeling</x:t>
        </x:is>
      </x:c>
      <x:c r="H32" s="34" t="n"/>
      <x:c r="I32" s="34" t="n"/>
      <x:c r="J32" s="34" t="n"/>
      <x:c r="K32" s="34" t="n"/>
      <x:c r="L32" s="34" t="n"/>
      <x:c r="M32" s="34" t="n"/>
      <x:c r="N32" s="34" t="n"/>
      <x:c r="O32" s="34" t="n"/>
      <x:c r="P32" s="34" t="n"/>
      <x:c r="Q32" s="34" t="n"/>
      <x:c r="R32" s="34" t="n"/>
      <x:c r="S32" s="34" t="n"/>
      <x:c r="T32" s="34" t="n"/>
      <x:c r="U32" s="34" t="n"/>
      <x:c r="V32" s="34" t="n"/>
      <x:c r="W32" s="34" t="n"/>
      <x:c r="X32" s="34" t="n"/>
      <x:c r="Y32" s="34" t="n"/>
      <x:c r="Z32" s="34" t="n"/>
      <x:c r="AA32" s="34" t="n"/>
      <x:c r="AB32" s="34" t="n"/>
      <x:c r="AC32" s="34" t="n"/>
      <x:c r="AD32" s="34" t="n"/>
      <x:c r="AE32" s="34" t="n"/>
      <x:c r="AF32" s="34" t="n"/>
      <x:c r="AG32" s="34" t="n"/>
      <x:c r="AH32" s="34" t="n"/>
      <x:c r="AI32" s="34" t="n"/>
      <x:c r="AJ32" s="34" t="n"/>
      <x:c r="AK32" s="34" t="n"/>
      <x:c r="AL32" s="34" t="n"/>
      <x:c r="AM32" s="34" t="n"/>
      <x:c r="AN32" s="34" t="n"/>
      <x:c r="AO32" s="34" t="n"/>
      <x:c r="AP32" s="34" t="n"/>
      <x:c r="AQ32" s="34" t="n"/>
      <x:c r="AR32" s="34" t="n"/>
    </x:row>
    <x:row r="33">
      <x:c r="A33" s="18" t="inlineStr">
        <x:is>
          <x:t xml:space="preserve">Eddie</x:t>
        </x:is>
      </x:c>
      <x:c r="B33" s="44" t="n">
        <x:v>46059</x:v>
      </x:c>
      <x:c r="C33" s="23" t="n">
        <x:v>29</x:v>
      </x:c>
      <x:c r="D33" s="15" t="n">
        <x:v>32</x:v>
      </x:c>
      <x:c r="E33" s="45" t="n">
        <x:v>4</x:v>
      </x:c>
      <x:c r="F33" s="45" t="n">
        <x:v>1</x:v>
      </x:c>
      <x:c r="G33" s="28" t="inlineStr">
        <x:is>
          <x:t xml:space="preserve">Edward, Ben Morris, TOM, Brian, Rafel</x:t>
        </x:is>
      </x:c>
      <x:c r="H33" s="34" t="n"/>
      <x:c r="I33" s="34" t="n"/>
      <x:c r="J33" s="34" t="n"/>
      <x:c r="K33" s="34" t="n"/>
      <x:c r="L33" s="34" t="n"/>
      <x:c r="M33" s="34" t="n"/>
      <x:c r="N33" s="34" t="n"/>
      <x:c r="O33" s="34" t="n"/>
      <x:c r="P33" s="34" t="n"/>
      <x:c r="Q33" s="34" t="n"/>
      <x:c r="R33" s="34" t="n"/>
      <x:c r="S33" s="34" t="n"/>
      <x:c r="T33" s="34" t="n"/>
      <x:c r="U33" s="34" t="n"/>
      <x:c r="V33" s="34" t="n"/>
      <x:c r="W33" s="34" t="n"/>
      <x:c r="X33" s="34" t="n"/>
      <x:c r="Y33" s="34" t="n"/>
      <x:c r="Z33" s="34" t="n"/>
      <x:c r="AA33" s="34" t="n"/>
      <x:c r="AB33" s="34" t="n"/>
      <x:c r="AC33" s="34" t="n"/>
      <x:c r="AD33" s="34" t="n"/>
      <x:c r="AE33" s="34" t="n"/>
      <x:c r="AF33" s="34" t="n"/>
      <x:c r="AG33" s="34" t="n"/>
      <x:c r="AH33" s="34" t="n"/>
      <x:c r="AI33" s="34" t="n"/>
      <x:c r="AJ33" s="34" t="n"/>
      <x:c r="AK33" s="34" t="n"/>
      <x:c r="AL33" s="34" t="n"/>
      <x:c r="AM33" s="34" t="n"/>
      <x:c r="AN33" s="34" t="n"/>
      <x:c r="AO33" s="34" t="n"/>
      <x:c r="AP33" s="34" t="n"/>
      <x:c r="AQ33" s="34" t="n"/>
      <x:c r="AR33" s="34" t="n"/>
    </x:row>
    <x:row r="34">
      <x:c r="A34" s="19" t="inlineStr">
        <x:is>
          <x:t xml:space="preserve">Randy</x:t>
        </x:is>
      </x:c>
      <x:c r="B34" s="44" t="n">
        <x:v>46059</x:v>
      </x:c>
      <x:c r="C34" s="15" t="n">
        <x:v>41</x:v>
      </x:c>
      <x:c r="D34" s="15" t="n">
        <x:v>94</x:v>
      </x:c>
      <x:c r="E34" s="45" t="n">
        <x:v>2</x:v>
      </x:c>
      <x:c r="F34" s="45" t="n">
        <x:v>1</x:v>
      </x:c>
      <x:c r="G34" s="28" t="inlineStr">
        <x:is>
          <x:t xml:space="preserve">Jamie, Ben, Jodie</x:t>
        </x:is>
      </x:c>
      <x:c r="H34" s="34" t="n"/>
      <x:c r="I34" s="34" t="n"/>
      <x:c r="J34" s="34" t="n"/>
      <x:c r="K34" s="34" t="n"/>
      <x:c r="L34" s="34" t="n"/>
      <x:c r="M34" s="34" t="n"/>
      <x:c r="N34" s="34" t="n"/>
      <x:c r="O34" s="34" t="n"/>
      <x:c r="P34" s="34" t="n"/>
      <x:c r="Q34" s="34" t="n"/>
      <x:c r="R34" s="34" t="n"/>
      <x:c r="S34" s="34" t="n"/>
      <x:c r="T34" s="34" t="n"/>
      <x:c r="U34" s="34" t="n"/>
      <x:c r="V34" s="34" t="n"/>
      <x:c r="W34" s="34" t="n"/>
      <x:c r="X34" s="34" t="n"/>
      <x:c r="Y34" s="34" t="n"/>
      <x:c r="Z34" s="34" t="n"/>
      <x:c r="AA34" s="34" t="n"/>
      <x:c r="AB34" s="34" t="n"/>
      <x:c r="AC34" s="34" t="n"/>
      <x:c r="AD34" s="34" t="n"/>
      <x:c r="AE34" s="34" t="n"/>
      <x:c r="AF34" s="34" t="n"/>
      <x:c r="AG34" s="34" t="n"/>
      <x:c r="AH34" s="34" t="n"/>
      <x:c r="AI34" s="34" t="n"/>
      <x:c r="AJ34" s="34" t="n"/>
      <x:c r="AK34" s="34" t="n"/>
      <x:c r="AL34" s="34" t="n"/>
      <x:c r="AM34" s="34" t="n"/>
      <x:c r="AN34" s="34" t="n"/>
      <x:c r="AO34" s="34" t="n"/>
      <x:c r="AP34" s="34" t="n"/>
      <x:c r="AQ34" s="34" t="n"/>
      <x:c r="AR34" s="34" t="n"/>
    </x:row>
    <x:row r="35">
      <x:c r="A35" s="13" t="inlineStr">
        <x:is>
          <x:t xml:space="preserve">Daniel</x:t>
        </x:is>
      </x:c>
      <x:c r="B35" s="44" t="n">
        <x:v>46062</x:v>
      </x:c>
      <x:c r="C35" s="15" t="n">
        <x:v>59</x:v>
      </x:c>
      <x:c r="D35" s="15" t="n">
        <x:v>66</x:v>
      </x:c>
      <x:c r="E35" s="45" t="n">
        <x:v>0</x:v>
      </x:c>
      <x:c r="F35" s="45" t="n">
        <x:v>2</x:v>
      </x:c>
      <x:c r="G35" s="28" t="inlineStr">
        <x:is>
          <x:t xml:space="preserve">Lacy, ALex</x:t>
        </x:is>
      </x:c>
      <x:c r="H35" s="34" t="n"/>
      <x:c r="I35" s="34" t="n"/>
      <x:c r="J35" s="34" t="n"/>
      <x:c r="K35" s="34" t="n"/>
      <x:c r="L35" s="34" t="n"/>
      <x:c r="M35" s="34" t="n"/>
      <x:c r="N35" s="34" t="n"/>
      <x:c r="O35" s="34" t="n"/>
      <x:c r="P35" s="34" t="n"/>
      <x:c r="Q35" s="34" t="n"/>
      <x:c r="R35" s="34" t="n"/>
      <x:c r="S35" s="34" t="n"/>
      <x:c r="T35" s="34" t="n"/>
      <x:c r="U35" s="34" t="n"/>
      <x:c r="V35" s="34" t="n"/>
      <x:c r="W35" s="34" t="n"/>
      <x:c r="X35" s="34" t="n"/>
      <x:c r="Y35" s="34" t="n"/>
      <x:c r="Z35" s="34" t="n"/>
      <x:c r="AA35" s="34" t="n"/>
      <x:c r="AB35" s="34" t="n"/>
      <x:c r="AC35" s="34" t="n"/>
      <x:c r="AD35" s="34" t="n"/>
      <x:c r="AE35" s="34" t="n"/>
      <x:c r="AF35" s="34" t="n"/>
      <x:c r="AG35" s="34" t="n"/>
      <x:c r="AH35" s="34" t="n"/>
      <x:c r="AI35" s="34" t="n"/>
      <x:c r="AJ35" s="34" t="n"/>
      <x:c r="AK35" s="34" t="n"/>
      <x:c r="AL35" s="34" t="n"/>
      <x:c r="AM35" s="34" t="n"/>
      <x:c r="AN35" s="34" t="n"/>
      <x:c r="AO35" s="34" t="n"/>
      <x:c r="AP35" s="34" t="n"/>
      <x:c r="AQ35" s="34" t="n"/>
      <x:c r="AR35" s="34" t="n"/>
    </x:row>
    <x:row r="36">
      <x:c r="A36" s="18" t="inlineStr">
        <x:is>
          <x:t xml:space="preserve">Eddie</x:t>
        </x:is>
      </x:c>
      <x:c r="B36" s="44" t="n">
        <x:v>46062</x:v>
      </x:c>
      <x:c r="C36" s="15" t="n">
        <x:v>18</x:v>
      </x:c>
      <x:c r="D36" s="15" t="n">
        <x:v>59</x:v>
      </x:c>
      <x:c r="E36" s="45" t="n">
        <x:v>1</x:v>
      </x:c>
      <x:c r="F36" s="45" t="n">
        <x:v>0</x:v>
      </x:c>
      <x:c r="G36" s="28" t="inlineStr">
        <x:is>
          <x:t xml:space="preserve">Jermaine</x:t>
        </x:is>
      </x:c>
      <x:c r="H36" s="34" t="n"/>
      <x:c r="I36" s="34" t="n"/>
      <x:c r="J36" s="34" t="n"/>
      <x:c r="K36" s="34" t="n"/>
      <x:c r="L36" s="34" t="n"/>
      <x:c r="M36" s="34" t="n"/>
      <x:c r="N36" s="34" t="n"/>
      <x:c r="O36" s="34" t="n"/>
      <x:c r="P36" s="34" t="n"/>
      <x:c r="Q36" s="34" t="n"/>
      <x:c r="R36" s="34" t="n"/>
      <x:c r="S36" s="34" t="n"/>
      <x:c r="T36" s="34" t="n"/>
      <x:c r="U36" s="34" t="n"/>
      <x:c r="V36" s="34" t="n"/>
      <x:c r="W36" s="34" t="n"/>
      <x:c r="X36" s="34" t="n"/>
      <x:c r="Y36" s="34" t="n"/>
      <x:c r="Z36" s="34" t="n"/>
      <x:c r="AA36" s="34" t="n"/>
      <x:c r="AB36" s="34" t="n"/>
      <x:c r="AC36" s="34" t="n"/>
      <x:c r="AD36" s="34" t="n"/>
      <x:c r="AE36" s="34" t="n"/>
      <x:c r="AF36" s="34" t="n"/>
      <x:c r="AG36" s="34" t="n"/>
      <x:c r="AH36" s="34" t="n"/>
      <x:c r="AI36" s="34" t="n"/>
      <x:c r="AJ36" s="34" t="n"/>
      <x:c r="AK36" s="34" t="n"/>
      <x:c r="AL36" s="34" t="n"/>
      <x:c r="AM36" s="34" t="n"/>
      <x:c r="AN36" s="34" t="n"/>
      <x:c r="AO36" s="34" t="n"/>
      <x:c r="AP36" s="34" t="n"/>
      <x:c r="AQ36" s="34" t="n"/>
      <x:c r="AR36" s="34" t="n"/>
    </x:row>
    <x:row r="37">
      <x:c r="A37" s="19" t="inlineStr">
        <x:is>
          <x:t xml:space="preserve">Randy</x:t>
        </x:is>
      </x:c>
      <x:c r="B37" s="44" t="n">
        <x:v>46062</x:v>
      </x:c>
      <x:c r="C37" s="23" t="n">
        <x:v>3</x:v>
      </x:c>
      <x:c r="D37" s="15" t="n">
        <x:v>5</x:v>
      </x:c>
      <x:c r="E37" s="45" t="n">
        <x:v>0</x:v>
      </x:c>
      <x:c r="F37" s="45" t="n">
        <x:v>0</x:v>
      </x:c>
      <x:c r="G37" s="34" t="n"/>
      <x:c r="H37" s="34" t="n"/>
      <x:c r="I37" s="34" t="n"/>
      <x:c r="J37" s="34" t="n"/>
      <x:c r="K37" s="34" t="n"/>
      <x:c r="L37" s="34" t="n"/>
      <x:c r="M37" s="34" t="n"/>
      <x:c r="N37" s="34" t="n"/>
      <x:c r="O37" s="34" t="n"/>
      <x:c r="P37" s="34" t="n"/>
      <x:c r="Q37" s="34" t="n"/>
      <x:c r="R37" s="34" t="n"/>
      <x:c r="S37" s="34" t="n"/>
      <x:c r="T37" s="34" t="n"/>
      <x:c r="U37" s="34" t="n"/>
      <x:c r="V37" s="34" t="n"/>
      <x:c r="W37" s="34" t="n"/>
      <x:c r="X37" s="34" t="n"/>
      <x:c r="Y37" s="34" t="n"/>
      <x:c r="Z37" s="34" t="n"/>
      <x:c r="AA37" s="34" t="n"/>
      <x:c r="AB37" s="34" t="n"/>
      <x:c r="AC37" s="34" t="n"/>
      <x:c r="AD37" s="34" t="n"/>
      <x:c r="AE37" s="34" t="n"/>
      <x:c r="AF37" s="34" t="n"/>
      <x:c r="AG37" s="34" t="n"/>
      <x:c r="AH37" s="34" t="n"/>
      <x:c r="AI37" s="34" t="n"/>
      <x:c r="AJ37" s="34" t="n"/>
      <x:c r="AK37" s="34" t="n"/>
      <x:c r="AL37" s="34" t="n"/>
      <x:c r="AM37" s="34" t="n"/>
      <x:c r="AN37" s="34" t="n"/>
      <x:c r="AO37" s="34" t="n"/>
      <x:c r="AP37" s="34" t="n"/>
      <x:c r="AQ37" s="34" t="n"/>
      <x:c r="AR37" s="34" t="n"/>
    </x:row>
    <x:row r="38">
      <x:c r="A38" s="13" t="inlineStr">
        <x:is>
          <x:t xml:space="preserve">Daniel</x:t>
        </x:is>
      </x:c>
      <x:c r="B38" s="44" t="n">
        <x:v>46063</x:v>
      </x:c>
      <x:c r="C38" s="24" t="n">
        <x:v>100</x:v>
      </x:c>
      <x:c r="D38" s="25" t="n">
        <x:v>91</x:v>
      </x:c>
      <x:c r="E38" s="16" t="n">
        <x:v>5</x:v>
      </x:c>
      <x:c r="F38" s="16" t="n">
        <x:v>0</x:v>
      </x:c>
      <x:c r="G38" s="29" t="inlineStr">
        <x:is>
          <x:t xml:space="preserve">Joe, George, Carlos, kellys, charles</x:t>
        </x:is>
      </x:c>
      <x:c r="H38" s="34" t="n"/>
      <x:c r="I38" s="34" t="n"/>
      <x:c r="J38" s="34" t="n"/>
      <x:c r="K38" s="34" t="n"/>
      <x:c r="L38" s="34" t="n"/>
      <x:c r="M38" s="34" t="n"/>
      <x:c r="N38" s="34" t="n"/>
      <x:c r="O38" s="34" t="n"/>
      <x:c r="P38" s="34" t="n"/>
      <x:c r="Q38" s="34" t="n"/>
      <x:c r="R38" s="34" t="n"/>
      <x:c r="S38" s="34" t="n"/>
      <x:c r="T38" s="34" t="n"/>
      <x:c r="U38" s="34" t="n"/>
      <x:c r="V38" s="34" t="n"/>
      <x:c r="W38" s="34" t="n"/>
      <x:c r="X38" s="34" t="n"/>
      <x:c r="Y38" s="34" t="n"/>
      <x:c r="Z38" s="34" t="n"/>
      <x:c r="AA38" s="34" t="n"/>
      <x:c r="AB38" s="34" t="n"/>
      <x:c r="AC38" s="34" t="n"/>
      <x:c r="AD38" s="34" t="n"/>
      <x:c r="AE38" s="34" t="n"/>
      <x:c r="AF38" s="34" t="n"/>
      <x:c r="AG38" s="34" t="n"/>
      <x:c r="AH38" s="34" t="n"/>
      <x:c r="AI38" s="34" t="n"/>
      <x:c r="AJ38" s="34" t="n"/>
      <x:c r="AK38" s="34" t="n"/>
      <x:c r="AL38" s="34" t="n"/>
      <x:c r="AM38" s="34" t="n"/>
      <x:c r="AN38" s="34" t="n"/>
      <x:c r="AO38" s="34" t="n"/>
      <x:c r="AP38" s="34" t="n"/>
      <x:c r="AQ38" s="34" t="n"/>
      <x:c r="AR38" s="34" t="n"/>
    </x:row>
    <x:row r="39">
      <x:c r="A39" s="18" t="inlineStr">
        <x:is>
          <x:t xml:space="preserve">Eddie</x:t>
        </x:is>
      </x:c>
      <x:c r="B39" s="44" t="n">
        <x:v>46063</x:v>
      </x:c>
      <x:c r="C39" s="24" t="n">
        <x:v>75</x:v>
      </x:c>
      <x:c r="D39" s="24" t="n">
        <x:v>72</x:v>
      </x:c>
      <x:c r="E39" s="16" t="n">
        <x:v>3</x:v>
      </x:c>
      <x:c r="F39" s="16" t="n">
        <x:v>0</x:v>
      </x:c>
      <x:c r="G39" s="29" t="inlineStr">
        <x:is>
          <x:t xml:space="preserve">Ali, Dr Handyman, (910) 297-1378, </x:t>
        </x:is>
      </x:c>
      <x:c r="H39" s="34" t="n"/>
      <x:c r="I39" s="34" t="n"/>
      <x:c r="J39" s="34" t="n"/>
      <x:c r="K39" s="34" t="n"/>
      <x:c r="L39" s="34" t="n"/>
      <x:c r="M39" s="34" t="n"/>
      <x:c r="N39" s="34" t="n"/>
      <x:c r="O39" s="34" t="n"/>
      <x:c r="P39" s="34" t="n"/>
      <x:c r="Q39" s="34" t="n"/>
      <x:c r="R39" s="34" t="n"/>
      <x:c r="S39" s="34" t="n"/>
      <x:c r="T39" s="34" t="n"/>
      <x:c r="U39" s="34" t="n"/>
      <x:c r="V39" s="34" t="n"/>
      <x:c r="W39" s="34" t="n"/>
      <x:c r="X39" s="34" t="n"/>
      <x:c r="Y39" s="34" t="n"/>
      <x:c r="Z39" s="34" t="n"/>
      <x:c r="AA39" s="34" t="n"/>
      <x:c r="AB39" s="34" t="n"/>
      <x:c r="AC39" s="34" t="n"/>
      <x:c r="AD39" s="34" t="n"/>
      <x:c r="AE39" s="34" t="n"/>
      <x:c r="AF39" s="34" t="n"/>
      <x:c r="AG39" s="34" t="n"/>
      <x:c r="AH39" s="34" t="n"/>
      <x:c r="AI39" s="34" t="n"/>
      <x:c r="AJ39" s="34" t="n"/>
      <x:c r="AK39" s="34" t="n"/>
      <x:c r="AL39" s="34" t="n"/>
      <x:c r="AM39" s="34" t="n"/>
      <x:c r="AN39" s="34" t="n"/>
      <x:c r="AO39" s="34" t="n"/>
      <x:c r="AP39" s="34" t="n"/>
      <x:c r="AQ39" s="34" t="n"/>
      <x:c r="AR39" s="34" t="n"/>
    </x:row>
    <x:row r="40">
      <x:c r="A40" s="19" t="inlineStr">
        <x:is>
          <x:t xml:space="preserve">Randy</x:t>
        </x:is>
      </x:c>
      <x:c r="B40" s="44" t="n">
        <x:v>46063</x:v>
      </x:c>
      <x:c r="C40" s="24" t="n">
        <x:v>106</x:v>
      </x:c>
      <x:c r="D40" s="25" t="n">
        <x:v>54</x:v>
      </x:c>
      <x:c r="E40" s="16" t="n">
        <x:v>4</x:v>
      </x:c>
      <x:c r="F40" s="16" t="n">
        <x:v>0</x:v>
      </x:c>
      <x:c r="G40" s="34" t="inlineStr">
        <x:is>
          <x:t xml:space="preserve">Kevin, Angel, Tony, Marvin</x:t>
        </x:is>
      </x:c>
      <x:c r="H40" s="34" t="n"/>
      <x:c r="I40" s="34" t="n"/>
      <x:c r="J40" s="34" t="n"/>
      <x:c r="K40" s="34" t="n"/>
      <x:c r="L40" s="34" t="n"/>
      <x:c r="M40" s="34" t="n"/>
      <x:c r="N40" s="34" t="n"/>
      <x:c r="O40" s="34" t="n"/>
      <x:c r="P40" s="34" t="n"/>
      <x:c r="Q40" s="34" t="n"/>
      <x:c r="R40" s="34" t="n"/>
      <x:c r="S40" s="34" t="n"/>
      <x:c r="T40" s="34" t="n"/>
      <x:c r="U40" s="34" t="n"/>
      <x:c r="V40" s="34" t="n"/>
      <x:c r="W40" s="34" t="n"/>
      <x:c r="X40" s="34" t="n"/>
      <x:c r="Y40" s="34" t="n"/>
      <x:c r="Z40" s="34" t="n"/>
      <x:c r="AA40" s="34" t="n"/>
      <x:c r="AB40" s="34" t="n"/>
      <x:c r="AC40" s="34" t="n"/>
      <x:c r="AD40" s="34" t="n"/>
      <x:c r="AE40" s="34" t="n"/>
      <x:c r="AF40" s="34" t="n"/>
      <x:c r="AG40" s="34" t="n"/>
      <x:c r="AH40" s="34" t="n"/>
      <x:c r="AI40" s="34" t="n"/>
      <x:c r="AJ40" s="34" t="n"/>
      <x:c r="AK40" s="34" t="n"/>
      <x:c r="AL40" s="34" t="n"/>
      <x:c r="AM40" s="34" t="n"/>
      <x:c r="AN40" s="34" t="n"/>
      <x:c r="AO40" s="34" t="n"/>
      <x:c r="AP40" s="34" t="n"/>
      <x:c r="AQ40" s="34" t="n"/>
      <x:c r="AR40" s="34" t="n"/>
    </x:row>
    <x:row r="41">
      <x:c r="A41" s="13" t="inlineStr">
        <x:is>
          <x:t xml:space="preserve">Daniel</x:t>
        </x:is>
      </x:c>
      <x:c r="B41" s="44" t="n">
        <x:v>46064</x:v>
      </x:c>
      <x:c r="C41" s="27" t="n">
        <x:v>100</x:v>
      </x:c>
      <x:c r="D41" s="27" t="n">
        <x:v>65</x:v>
      </x:c>
      <x:c r="E41" s="45" t="n">
        <x:v>3</x:v>
      </x:c>
      <x:c r="F41" s="45" t="n">
        <x:v>1</x:v>
      </x:c>
      <x:c r="G41" s="28" t="inlineStr">
        <x:is>
          <x:t xml:space="preserve">Rashad, Erik, Ezequiel, Louis</x:t>
        </x:is>
      </x:c>
      <x:c r="H41" s="34" t="n"/>
      <x:c r="I41" s="34" t="n"/>
      <x:c r="J41" s="34" t="n"/>
      <x:c r="K41" s="34" t="n"/>
      <x:c r="L41" s="34" t="n"/>
      <x:c r="M41" s="34" t="n"/>
      <x:c r="N41" s="34" t="n"/>
      <x:c r="O41" s="34" t="n"/>
      <x:c r="P41" s="34" t="n"/>
      <x:c r="Q41" s="34" t="n"/>
      <x:c r="R41" s="34" t="n"/>
      <x:c r="S41" s="34" t="n"/>
      <x:c r="T41" s="34" t="n"/>
      <x:c r="U41" s="34" t="n"/>
      <x:c r="V41" s="34" t="n"/>
      <x:c r="W41" s="34" t="n"/>
      <x:c r="X41" s="34" t="n"/>
      <x:c r="Y41" s="34" t="n"/>
      <x:c r="Z41" s="34" t="n"/>
      <x:c r="AA41" s="34" t="n"/>
      <x:c r="AB41" s="34" t="n"/>
      <x:c r="AC41" s="34" t="n"/>
      <x:c r="AD41" s="34" t="n"/>
      <x:c r="AE41" s="34" t="n"/>
      <x:c r="AF41" s="34" t="n"/>
      <x:c r="AG41" s="34" t="n"/>
      <x:c r="AH41" s="34" t="n"/>
      <x:c r="AI41" s="34" t="n"/>
      <x:c r="AJ41" s="34" t="n"/>
      <x:c r="AK41" s="34" t="n"/>
      <x:c r="AL41" s="34" t="n"/>
      <x:c r="AM41" s="34" t="n"/>
      <x:c r="AN41" s="34" t="n"/>
      <x:c r="AO41" s="34" t="n"/>
      <x:c r="AP41" s="34" t="n"/>
      <x:c r="AQ41" s="34" t="n"/>
      <x:c r="AR41" s="34" t="n"/>
    </x:row>
    <x:row r="42">
      <x:c r="A42" s="18" t="inlineStr">
        <x:is>
          <x:t xml:space="preserve">Eddie</x:t>
        </x:is>
      </x:c>
      <x:c r="B42" s="44" t="n">
        <x:v>46064</x:v>
      </x:c>
      <x:c r="C42" s="27" t="n">
        <x:v>113</x:v>
      </x:c>
      <x:c r="D42" s="27" t="n">
        <x:v>87</x:v>
      </x:c>
      <x:c r="E42" s="45" t="n">
        <x:v>5</x:v>
      </x:c>
      <x:c r="F42" s="45" t="n">
        <x:v>1</x:v>
      </x:c>
      <x:c r="G42" s="29" t="inlineStr">
        <x:is>
          <x:t xml:space="preserve">Omar, MAURICIO, ALLAN, Gus, RON, Brandon Tavars</x:t>
        </x:is>
      </x:c>
      <x:c r="H42" s="34" t="n"/>
      <x:c r="I42" s="34" t="n"/>
      <x:c r="J42" s="34" t="n"/>
      <x:c r="K42" s="34" t="n"/>
      <x:c r="L42" s="34" t="n"/>
      <x:c r="M42" s="34" t="n"/>
      <x:c r="N42" s="34" t="n"/>
      <x:c r="O42" s="34" t="n"/>
      <x:c r="P42" s="34" t="n"/>
      <x:c r="Q42" s="34" t="n"/>
      <x:c r="R42" s="34" t="n"/>
      <x:c r="S42" s="34" t="n"/>
      <x:c r="T42" s="34" t="n"/>
      <x:c r="U42" s="34" t="n"/>
      <x:c r="V42" s="34" t="n"/>
      <x:c r="W42" s="34" t="n"/>
      <x:c r="X42" s="34" t="n"/>
      <x:c r="Y42" s="34" t="n"/>
      <x:c r="Z42" s="34" t="n"/>
      <x:c r="AA42" s="34" t="n"/>
      <x:c r="AB42" s="34" t="n"/>
      <x:c r="AC42" s="34" t="n"/>
      <x:c r="AD42" s="34" t="n"/>
      <x:c r="AE42" s="34" t="n"/>
      <x:c r="AF42" s="34" t="n"/>
      <x:c r="AG42" s="34" t="n"/>
      <x:c r="AH42" s="34" t="n"/>
      <x:c r="AI42" s="34" t="n"/>
      <x:c r="AJ42" s="34" t="n"/>
      <x:c r="AK42" s="34" t="n"/>
      <x:c r="AL42" s="34" t="n"/>
      <x:c r="AM42" s="34" t="n"/>
      <x:c r="AN42" s="34" t="n"/>
      <x:c r="AO42" s="34" t="n"/>
      <x:c r="AP42" s="34" t="n"/>
      <x:c r="AQ42" s="34" t="n"/>
      <x:c r="AR42" s="34" t="n"/>
    </x:row>
    <x:row r="43">
      <x:c r="A43" s="19" t="inlineStr">
        <x:is>
          <x:t xml:space="preserve">Randy</x:t>
        </x:is>
      </x:c>
      <x:c r="B43" s="44" t="n">
        <x:v>46064</x:v>
      </x:c>
      <x:c r="C43" s="27" t="n">
        <x:v>104</x:v>
      </x:c>
      <x:c r="D43" s="27" t="n">
        <x:v>51</x:v>
      </x:c>
      <x:c r="E43" s="45" t="n">
        <x:v>0</x:v>
      </x:c>
      <x:c r="F43" s="45" t="n">
        <x:v>1</x:v>
      </x:c>
      <x:c r="G43" s="29" t="inlineStr">
        <x:is>
          <x:t xml:space="preserve">Sean</x:t>
        </x:is>
      </x:c>
      <x:c r="H43" s="34" t="n"/>
      <x:c r="I43" s="34" t="n"/>
      <x:c r="J43" s="34" t="n"/>
      <x:c r="K43" s="34" t="n"/>
      <x:c r="L43" s="34" t="n"/>
      <x:c r="M43" s="34" t="n"/>
      <x:c r="N43" s="34" t="n"/>
      <x:c r="O43" s="34" t="n"/>
      <x:c r="P43" s="34" t="n"/>
      <x:c r="Q43" s="34" t="n"/>
      <x:c r="R43" s="34" t="n"/>
      <x:c r="S43" s="34" t="n"/>
      <x:c r="T43" s="34" t="n"/>
      <x:c r="U43" s="34" t="n"/>
      <x:c r="V43" s="34" t="n"/>
      <x:c r="W43" s="34" t="n"/>
      <x:c r="X43" s="34" t="n"/>
      <x:c r="Y43" s="34" t="n"/>
      <x:c r="Z43" s="34" t="n"/>
      <x:c r="AA43" s="34" t="n"/>
      <x:c r="AB43" s="34" t="n"/>
      <x:c r="AC43" s="34" t="n"/>
      <x:c r="AD43" s="34" t="n"/>
      <x:c r="AE43" s="34" t="n"/>
      <x:c r="AF43" s="34" t="n"/>
      <x:c r="AG43" s="34" t="n"/>
      <x:c r="AH43" s="34" t="n"/>
      <x:c r="AI43" s="34" t="n"/>
      <x:c r="AJ43" s="34" t="n"/>
      <x:c r="AK43" s="34" t="n"/>
      <x:c r="AL43" s="34" t="n"/>
      <x:c r="AM43" s="34" t="n"/>
      <x:c r="AN43" s="34" t="n"/>
      <x:c r="AO43" s="34" t="n"/>
      <x:c r="AP43" s="34" t="n"/>
      <x:c r="AQ43" s="34" t="n"/>
      <x:c r="AR43" s="34" t="n"/>
    </x:row>
    <x:row r="44">
      <x:c r="A44" s="13" t="inlineStr">
        <x:is>
          <x:t xml:space="preserve">Daniel</x:t>
        </x:is>
      </x:c>
      <x:c r="B44" s="44" t="n">
        <x:v>46065</x:v>
      </x:c>
      <x:c r="C44" s="30" t="n">
        <x:v>101</x:v>
      </x:c>
      <x:c r="D44" s="30" t="n">
        <x:v>76</x:v>
      </x:c>
      <x:c r="E44" s="48" t="n">
        <x:v>5</x:v>
      </x:c>
      <x:c r="F44" s="48" t="n">
        <x:v>0</x:v>
      </x:c>
      <x:c r="G44" s="31" t="inlineStr">
        <x:is>
          <x:t xml:space="preserve">Mendez, Ray, Christina, Jason, Arht</x:t>
        </x:is>
      </x:c>
    </x:row>
    <x:row r="45">
      <x:c r="A45" s="18" t="inlineStr">
        <x:is>
          <x:t xml:space="preserve">Eddie</x:t>
        </x:is>
      </x:c>
      <x:c r="B45" s="44" t="n">
        <x:v>46065</x:v>
      </x:c>
      <x:c r="C45" s="32" t="n">
        <x:v>162</x:v>
      </x:c>
      <x:c r="D45" s="30" t="n">
        <x:v>144</x:v>
      </x:c>
      <x:c r="E45" s="48" t="n">
        <x:v>1</x:v>
      </x:c>
      <x:c r="F45" s="48" t="n">
        <x:v>1</x:v>
      </x:c>
      <x:c r="G45" s="48" t="inlineStr">
        <x:is>
          <x:t xml:space="preserve">Grace, Bravo</x:t>
        </x:is>
      </x:c>
    </x:row>
    <x:row r="46">
      <x:c r="A46" s="19" t="inlineStr">
        <x:is>
          <x:t xml:space="preserve">Randy</x:t>
        </x:is>
      </x:c>
      <x:c r="B46" s="44" t="n">
        <x:v>46065</x:v>
      </x:c>
      <x:c r="C46" s="30" t="n">
        <x:v>105</x:v>
      </x:c>
      <x:c r="D46" s="32" t="n">
        <x:v>61</x:v>
      </x:c>
      <x:c r="E46" s="48" t="n">
        <x:v>2</x:v>
      </x:c>
      <x:c r="F46" s="48" t="n">
        <x:v>0</x:v>
      </x:c>
      <x:c r="G46" s="31" t="inlineStr">
        <x:is>
          <x:t xml:space="preserve">Epr, Smart Fix</x:t>
        </x:is>
      </x:c>
    </x:row>
    <x:row r="47">
      <x:c r="A47" s="13" t="inlineStr">
        <x:is>
          <x:t xml:space="preserve">Daniel</x:t>
        </x:is>
      </x:c>
      <x:c r="B47" s="44" t="n">
        <x:v>46066</x:v>
      </x:c>
      <x:c r="C47" s="33" t="n">
        <x:v>101</x:v>
      </x:c>
      <x:c r="D47" s="27" t="n">
        <x:v>73</x:v>
      </x:c>
      <x:c r="E47" s="16" t="n">
        <x:v>4</x:v>
      </x:c>
      <x:c r="F47" s="34" t="n">
        <x:v>0</x:v>
      </x:c>
      <x:c r="G47" s="29" t="inlineStr">
        <x:is>
          <x:t xml:space="preserve">Jerry, Carlos, M&amp;z, William</x:t>
        </x:is>
      </x:c>
    </x:row>
    <x:row r="48">
      <x:c r="A48" s="18" t="inlineStr">
        <x:is>
          <x:t xml:space="preserve">Eddie</x:t>
        </x:is>
      </x:c>
      <x:c r="B48" s="44" t="n">
        <x:v>46066</x:v>
      </x:c>
      <x:c r="C48" s="33" t="n">
        <x:v>101</x:v>
      </x:c>
      <x:c r="D48" s="27" t="n">
        <x:v>96</x:v>
      </x:c>
      <x:c r="E48" s="16" t="n">
        <x:v>3</x:v>
      </x:c>
      <x:c r="F48" s="16" t="n">
        <x:v>2</x:v>
      </x:c>
      <x:c r="G48" s="29" t="inlineStr">
        <x:is>
          <x:t xml:space="preserve">Datis, Kenneth, Rafael, Coziel, Ddl, </x:t>
        </x:is>
      </x:c>
    </x:row>
    <x:row r="49">
      <x:c r="A49" s="19" t="inlineStr">
        <x:is>
          <x:t xml:space="preserve">Randy</x:t>
        </x:is>
      </x:c>
      <x:c r="B49" s="44" t="n">
        <x:v>46066</x:v>
      </x:c>
      <x:c r="C49" s="33" t="n">
        <x:v>109</x:v>
      </x:c>
      <x:c r="D49" s="33" t="n">
        <x:v>65</x:v>
      </x:c>
      <x:c r="E49" s="16" t="n">
        <x:v>4</x:v>
      </x:c>
      <x:c r="F49" s="34" t="n">
        <x:v>0</x:v>
      </x:c>
      <x:c r="G49" s="29" t="inlineStr">
        <x:is>
          <x:t xml:space="preserve">Gus, The Carpenters, Danyco, Derek, </x:t>
        </x:is>
      </x:c>
    </x:row>
    <x:row r="50">
      <x:c r="A50" s="18" t="inlineStr">
        <x:is>
          <x:t xml:space="preserve">Eddie</x:t>
        </x:is>
      </x:c>
      <x:c r="B50" s="44" t="n">
        <x:v>46069</x:v>
      </x:c>
      <x:c r="C50" s="27" t="n">
        <x:v>97</x:v>
      </x:c>
      <x:c r="D50" s="33" t="n">
        <x:v>83</x:v>
      </x:c>
      <x:c r="E50" s="16" t="n">
        <x:v>4</x:v>
      </x:c>
      <x:c r="F50" s="16" t="n">
        <x:v>1</x:v>
      </x:c>
      <x:c r="G50" s="29" t="inlineStr">
        <x:is>
          <x:t xml:space="preserve">BRAD, Igor, Dmj Contractors, Ag Electrical, A-1. GARY</x:t>
        </x:is>
      </x:c>
      <x:c r="H50" s="34" t="n"/>
      <x:c r="I50" s="34" t="n"/>
      <x:c r="J50" s="34" t="n"/>
      <x:c r="K50" s="34" t="n"/>
      <x:c r="L50" s="34" t="n"/>
      <x:c r="M50" s="34" t="n"/>
      <x:c r="N50" s="34" t="n"/>
      <x:c r="O50" s="34" t="n"/>
      <x:c r="P50" s="34" t="n"/>
      <x:c r="Q50" s="34" t="n"/>
      <x:c r="R50" s="34" t="n"/>
      <x:c r="S50" s="34" t="n"/>
      <x:c r="T50" s="34" t="n"/>
      <x:c r="U50" s="34" t="n"/>
      <x:c r="V50" s="34" t="n"/>
      <x:c r="W50" s="34" t="n"/>
      <x:c r="X50" s="34" t="n"/>
      <x:c r="Y50" s="34" t="n"/>
      <x:c r="Z50" s="34" t="n"/>
      <x:c r="AA50" s="34" t="n"/>
      <x:c r="AB50" s="34" t="n"/>
      <x:c r="AC50" s="34" t="n"/>
      <x:c r="AD50" s="34" t="n"/>
      <x:c r="AE50" s="34" t="n"/>
      <x:c r="AF50" s="34" t="n"/>
      <x:c r="AG50" s="34" t="n"/>
      <x:c r="AH50" s="34" t="n"/>
      <x:c r="AI50" s="34" t="n"/>
      <x:c r="AJ50" s="34" t="n"/>
      <x:c r="AK50" s="34" t="n"/>
      <x:c r="AL50" s="34" t="n"/>
      <x:c r="AM50" s="34" t="n"/>
      <x:c r="AN50" s="34" t="n"/>
      <x:c r="AO50" s="34" t="n"/>
      <x:c r="AP50" s="34" t="n"/>
      <x:c r="AQ50" s="34" t="n"/>
      <x:c r="AR50" s="34" t="n"/>
    </x:row>
    <x:row r="51">
      <x:c r="A51" s="13" t="inlineStr">
        <x:is>
          <x:t xml:space="preserve">Daniel</x:t>
        </x:is>
      </x:c>
      <x:c r="B51" s="44" t="n">
        <x:v>46069</x:v>
      </x:c>
      <x:c r="C51" s="27" t="n">
        <x:v>100</x:v>
      </x:c>
      <x:c r="D51" s="27" t="n">
        <x:v>71</x:v>
      </x:c>
      <x:c r="E51" s="16" t="n">
        <x:v>1</x:v>
      </x:c>
      <x:c r="F51" s="34" t="n">
        <x:v>0</x:v>
      </x:c>
      <x:c r="G51" s="29" t="inlineStr">
        <x:is>
          <x:t xml:space="preserve">Elvis</x:t>
        </x:is>
      </x:c>
      <x:c r="H51" s="34" t="n"/>
      <x:c r="I51" s="34" t="n"/>
      <x:c r="J51" s="34" t="n"/>
      <x:c r="K51" s="34" t="n"/>
      <x:c r="L51" s="34" t="n"/>
      <x:c r="M51" s="34" t="n"/>
      <x:c r="N51" s="34" t="n"/>
      <x:c r="O51" s="34" t="n"/>
      <x:c r="P51" s="34" t="n"/>
      <x:c r="Q51" s="34" t="n"/>
      <x:c r="R51" s="34" t="n"/>
      <x:c r="S51" s="34" t="n"/>
      <x:c r="T51" s="34" t="n"/>
      <x:c r="U51" s="34" t="n"/>
      <x:c r="V51" s="34" t="n"/>
      <x:c r="W51" s="34" t="n"/>
      <x:c r="X51" s="34" t="n"/>
      <x:c r="Y51" s="34" t="n"/>
      <x:c r="Z51" s="34" t="n"/>
      <x:c r="AA51" s="34" t="n"/>
      <x:c r="AB51" s="34" t="n"/>
      <x:c r="AC51" s="34" t="n"/>
      <x:c r="AD51" s="34" t="n"/>
      <x:c r="AE51" s="34" t="n"/>
      <x:c r="AF51" s="34" t="n"/>
      <x:c r="AG51" s="34" t="n"/>
      <x:c r="AH51" s="34" t="n"/>
      <x:c r="AI51" s="34" t="n"/>
      <x:c r="AJ51" s="34" t="n"/>
      <x:c r="AK51" s="34" t="n"/>
      <x:c r="AL51" s="34" t="n"/>
      <x:c r="AM51" s="34" t="n"/>
      <x:c r="AN51" s="34" t="n"/>
      <x:c r="AO51" s="34" t="n"/>
      <x:c r="AP51" s="34" t="n"/>
      <x:c r="AQ51" s="34" t="n"/>
      <x:c r="AR51" s="34" t="n"/>
    </x:row>
    <x:row r="52">
      <x:c r="A52" s="19" t="inlineStr">
        <x:is>
          <x:t xml:space="preserve">Randy</x:t>
        </x:is>
      </x:c>
      <x:c r="B52" s="44" t="n">
        <x:v>46069</x:v>
      </x:c>
      <x:c r="C52" s="27" t="n">
        <x:v>85</x:v>
      </x:c>
      <x:c r="D52" s="33" t="n">
        <x:v>43</x:v>
      </x:c>
      <x:c r="E52" s="16" t="n">
        <x:v>3</x:v>
      </x:c>
      <x:c r="F52" s="16" t="n">
        <x:v>1</x:v>
      </x:c>
      <x:c r="G52" s="29" t="inlineStr">
        <x:is>
          <x:t xml:space="preserve">Doug, Chris, Todd, Harold, Mullineaux</x:t>
        </x:is>
      </x:c>
      <x:c r="H52" s="34" t="n"/>
      <x:c r="I52" s="34" t="n"/>
      <x:c r="J52" s="34" t="n"/>
      <x:c r="K52" s="34" t="n"/>
      <x:c r="L52" s="34" t="n"/>
      <x:c r="M52" s="34" t="n"/>
      <x:c r="N52" s="34" t="n"/>
      <x:c r="O52" s="34" t="n"/>
      <x:c r="P52" s="34" t="n"/>
      <x:c r="Q52" s="34" t="n"/>
      <x:c r="R52" s="34" t="n"/>
      <x:c r="S52" s="34" t="n"/>
      <x:c r="T52" s="34" t="n"/>
      <x:c r="U52" s="34" t="n"/>
      <x:c r="V52" s="34" t="n"/>
      <x:c r="W52" s="34" t="n"/>
      <x:c r="X52" s="34" t="n"/>
      <x:c r="Y52" s="34" t="n"/>
      <x:c r="Z52" s="34" t="n"/>
      <x:c r="AA52" s="34" t="n"/>
      <x:c r="AB52" s="34" t="n"/>
      <x:c r="AC52" s="34" t="n"/>
      <x:c r="AD52" s="34" t="n"/>
      <x:c r="AE52" s="34" t="n"/>
      <x:c r="AF52" s="34" t="n"/>
      <x:c r="AG52" s="34" t="n"/>
      <x:c r="AH52" s="34" t="n"/>
      <x:c r="AI52" s="34" t="n"/>
      <x:c r="AJ52" s="34" t="n"/>
      <x:c r="AK52" s="34" t="n"/>
      <x:c r="AL52" s="34" t="n"/>
      <x:c r="AM52" s="34" t="n"/>
      <x:c r="AN52" s="34" t="n"/>
      <x:c r="AO52" s="34" t="n"/>
      <x:c r="AP52" s="34" t="n"/>
      <x:c r="AQ52" s="34" t="n"/>
      <x:c r="AR52" s="34" t="n"/>
    </x:row>
    <x:row r="53">
      <x:c r="A53" s="18" t="inlineStr">
        <x:is>
          <x:t xml:space="preserve">Eddie</x:t>
        </x:is>
      </x:c>
      <x:c r="B53" s="44" t="n">
        <x:v>46070</x:v>
      </x:c>
      <x:c r="C53" s="35" t="n">
        <x:v>105</x:v>
      </x:c>
      <x:c r="D53" s="33" t="n">
        <x:v>93</x:v>
      </x:c>
      <x:c r="E53" s="16" t="n">
        <x:v>2</x:v>
      </x:c>
      <x:c r="F53" s="16" t="n">
        <x:v>2</x:v>
      </x:c>
      <x:c r="G53" s="29" t="inlineStr">
        <x:is>
          <x:t xml:space="preserve">Ash, Lewis, Mr Eric, Ted </x:t>
        </x:is>
      </x:c>
    </x:row>
    <x:row r="54">
      <x:c r="A54" s="13" t="inlineStr">
        <x:is>
          <x:t xml:space="preserve">Daniel</x:t>
        </x:is>
      </x:c>
      <x:c r="B54" s="44" t="n">
        <x:v>46070</x:v>
      </x:c>
      <x:c r="C54" s="27" t="n">
        <x:v>100</x:v>
      </x:c>
      <x:c r="D54" s="27" t="n">
        <x:v>80</x:v>
      </x:c>
      <x:c r="E54" s="34" t="n">
        <x:v>0</x:v>
      </x:c>
      <x:c r="F54" s="16" t="n">
        <x:v>2</x:v>
      </x:c>
      <x:c r="G54" s="29" t="inlineStr">
        <x:is>
          <x:t xml:space="preserve">Matthew, William </x:t>
        </x:is>
      </x:c>
    </x:row>
    <x:row r="55">
      <x:c r="A55" s="19" t="inlineStr">
        <x:is>
          <x:t xml:space="preserve">Randy</x:t>
        </x:is>
      </x:c>
      <x:c r="B55" s="44" t="n">
        <x:v>46070</x:v>
      </x:c>
      <x:c r="C55" s="36" t="n">
        <x:v>104</x:v>
      </x:c>
      <x:c r="D55" s="37" t="n">
        <x:v>53</x:v>
      </x:c>
      <x:c r="E55" s="16" t="n">
        <x:v>3</x:v>
      </x:c>
      <x:c r="F55" s="16" t="n">
        <x:v>1</x:v>
      </x:c>
      <x:c r="G55" s="29" t="inlineStr">
        <x:is>
          <x:t xml:space="preserve">Joe, George, Matthew, Raymond</x:t>
        </x:is>
      </x:c>
    </x:row>
    <x:row r="56">
      <x:c r="A56" s="18" t="inlineStr">
        <x:is>
          <x:t xml:space="preserve">Eddie</x:t>
        </x:is>
      </x:c>
      <x:c r="B56" s="44" t="n">
        <x:v>46071</x:v>
      </x:c>
      <x:c r="C56" s="33" t="n">
        <x:v>104</x:v>
      </x:c>
      <x:c r="D56" s="33" t="n">
        <x:v>93</x:v>
      </x:c>
      <x:c r="E56" s="45" t="n">
        <x:v>2</x:v>
      </x:c>
      <x:c r="F56" s="45" t="n">
        <x:v>1</x:v>
      </x:c>
      <x:c r="G56" s="29" t="inlineStr">
        <x:is>
          <x:t xml:space="preserve">Isaac, Carol, William</x:t>
        </x:is>
      </x:c>
    </x:row>
    <x:row r="57">
      <x:c r="A57" s="13" t="inlineStr">
        <x:is>
          <x:t xml:space="preserve">Daniel</x:t>
        </x:is>
      </x:c>
      <x:c r="B57" s="44" t="n">
        <x:v>46071</x:v>
      </x:c>
      <x:c r="C57" s="33" t="n">
        <x:v>100</x:v>
      </x:c>
      <x:c r="D57" s="33" t="n">
        <x:v>61</x:v>
      </x:c>
      <x:c r="E57" s="45" t="n">
        <x:v>2</x:v>
      </x:c>
      <x:c r="F57" s="34" t="n">
        <x:v>0</x:v>
      </x:c>
      <x:c r="G57" s="29" t="inlineStr">
        <x:is>
          <x:t xml:space="preserve">Mike, Roby</x:t>
        </x:is>
      </x:c>
    </x:row>
    <x:row r="58">
      <x:c r="A58" s="19" t="inlineStr">
        <x:is>
          <x:t xml:space="preserve">Randy</x:t>
        </x:is>
      </x:c>
      <x:c r="B58" s="44" t="n">
        <x:v>46071</x:v>
      </x:c>
      <x:c r="C58" s="27" t="n">
        <x:v>101</x:v>
      </x:c>
      <x:c r="D58" s="33" t="n">
        <x:v>49</x:v>
      </x:c>
      <x:c r="E58" s="45" t="n">
        <x:v>1</x:v>
      </x:c>
      <x:c r="F58" s="45" t="n">
        <x:v>1</x:v>
      </x:c>
      <x:c r="G58" s="29" t="inlineStr">
        <x:is>
          <x:t xml:space="preserve">Donald, Lou</x:t>
        </x:is>
      </x:c>
    </x:row>
    <x:row r="59">
      <x:c r="A59" s="18" t="inlineStr">
        <x:is>
          <x:t xml:space="preserve">Eddie</x:t>
        </x:is>
      </x:c>
      <x:c r="B59" s="44" t="n">
        <x:v>46072</x:v>
      </x:c>
      <x:c r="C59" s="27" t="n">
        <x:v>102</x:v>
      </x:c>
      <x:c r="D59" s="27" t="n">
        <x:v>91</x:v>
      </x:c>
      <x:c r="E59" s="16" t="n">
        <x:v>4</x:v>
      </x:c>
      <x:c r="F59" s="16" t="n">
        <x:v>1</x:v>
      </x:c>
      <x:c r="G59" s="29" t="inlineStr">
        <x:is>
          <x:t xml:space="preserve">Deija, Jake, Zack, Hernriquez, Luis</x:t>
        </x:is>
      </x:c>
    </x:row>
    <x:row r="60">
      <x:c r="A60" s="13" t="inlineStr">
        <x:is>
          <x:t xml:space="preserve">Daniel</x:t>
        </x:is>
      </x:c>
      <x:c r="B60" s="44" t="n">
        <x:v>46072</x:v>
      </x:c>
      <x:c r="C60" s="33" t="n">
        <x:v>101</x:v>
      </x:c>
      <x:c r="D60" s="33" t="n">
        <x:v>74</x:v>
      </x:c>
      <x:c r="E60" s="16" t="n">
        <x:v>3</x:v>
      </x:c>
      <x:c r="F60" s="16" t="n">
        <x:v>3</x:v>
      </x:c>
      <x:c r="G60" s="29" t="inlineStr">
        <x:is>
          <x:t xml:space="preserve">Greg, David, Laszlo, Eugene, Robert, Shannon </x:t>
        </x:is>
      </x:c>
    </x:row>
    <x:row r="61">
      <x:c r="A61" s="19" t="inlineStr">
        <x:is>
          <x:t xml:space="preserve">Randy</x:t>
        </x:is>
      </x:c>
      <x:c r="B61" s="44" t="n">
        <x:v>46072</x:v>
      </x:c>
      <x:c r="C61" s="33" t="n">
        <x:v>101</x:v>
      </x:c>
      <x:c r="D61" s="33" t="n">
        <x:v>51</x:v>
      </x:c>
      <x:c r="E61" s="16" t="n">
        <x:v>4</x:v>
      </x:c>
      <x:c r="F61" s="16" t="n">
        <x:v>1</x:v>
      </x:c>
      <x:c r="G61" s="29" t="inlineStr">
        <x:is>
          <x:t xml:space="preserve">Nick, Jake, Raenesha, Matt, Jacob </x:t>
        </x:is>
      </x:c>
    </x:row>
    <x:row r="62">
      <x:c r="A62" s="18" t="inlineStr">
        <x:is>
          <x:t xml:space="preserve">Eddie</x:t>
        </x:is>
      </x:c>
      <x:c r="B62" s="44" t="n">
        <x:v>46073</x:v>
      </x:c>
      <x:c r="C62" s="38" t="n">
        <x:v>104</x:v>
      </x:c>
      <x:c r="D62" s="38" t="n">
        <x:v>95</x:v>
      </x:c>
      <x:c r="E62" s="48" t="n">
        <x:v>1</x:v>
      </x:c>
      <x:c r="F62" s="48" t="n">
        <x:v>3</x:v>
      </x:c>
      <x:c r="G62" s="31" t="inlineStr">
        <x:is>
          <x:t xml:space="preserve">Leo, Tasha, John, Kenneth </x:t>
        </x:is>
      </x:c>
    </x:row>
    <x:row r="63">
      <x:c r="A63" s="13" t="inlineStr">
        <x:is>
          <x:t xml:space="preserve">Daniel</x:t>
        </x:is>
      </x:c>
      <x:c r="B63" s="44" t="n">
        <x:v>46073</x:v>
      </x:c>
      <x:c r="C63" s="38" t="n">
        <x:v>109</x:v>
      </x:c>
      <x:c r="D63" s="38" t="n">
        <x:v>67</x:v>
      </x:c>
      <x:c r="E63" s="48" t="n">
        <x:v>4</x:v>
      </x:c>
      <x:c r="F63" s="48" t="n">
        <x:v>0</x:v>
      </x:c>
      <x:c r="G63" s="31" t="inlineStr">
        <x:is>
          <x:t xml:space="preserve">Christ, David, Jeff, Steve</x:t>
        </x:is>
      </x:c>
    </x:row>
    <x:row r="64">
      <x:c r="A64" s="19" t="inlineStr">
        <x:is>
          <x:t xml:space="preserve">Randy</x:t>
        </x:is>
      </x:c>
      <x:c r="B64" s="44" t="n">
        <x:v>46073</x:v>
      </x:c>
      <x:c r="C64" s="38" t="n">
        <x:v>100</x:v>
      </x:c>
      <x:c r="D64" s="38" t="n">
        <x:v>45</x:v>
      </x:c>
      <x:c r="E64" s="48" t="n">
        <x:v>1</x:v>
      </x:c>
      <x:c r="F64" s="48" t="n">
        <x:v>0</x:v>
      </x:c>
      <x:c r="G64" s="31" t="inlineStr">
        <x:is>
          <x:t xml:space="preserve">Darren</x:t>
        </x:is>
      </x:c>
    </x:row>
    <x:row r="65">
      <x:c r="A65" s="18" t="inlineStr">
        <x:is>
          <x:t xml:space="preserve">Eddie</x:t>
        </x:is>
      </x:c>
      <x:c r="B65" s="44" t="n">
        <x:v>46076</x:v>
      </x:c>
      <x:c r="C65" s="39" t="n">
        <x:v>97</x:v>
      </x:c>
      <x:c r="D65" s="40" t="n">
        <x:v>91</x:v>
      </x:c>
      <x:c r="E65" s="16" t="n">
        <x:v>1</x:v>
      </x:c>
      <x:c r="F65" s="16" t="n">
        <x:v>0</x:v>
      </x:c>
      <x:c r="G65" s="29" t="inlineStr">
        <x:is>
          <x:t xml:space="preserve">Leo</x:t>
        </x:is>
      </x:c>
    </x:row>
    <x:row r="66">
      <x:c r="A66" s="13" t="inlineStr">
        <x:is>
          <x:t xml:space="preserve">Daniel</x:t>
        </x:is>
      </x:c>
      <x:c r="B66" s="44" t="n">
        <x:v>46076</x:v>
      </x:c>
      <x:c r="C66" s="39" t="n">
        <x:v>101</x:v>
      </x:c>
      <x:c r="D66" s="39" t="n">
        <x:v>66</x:v>
      </x:c>
      <x:c r="E66" s="16" t="n">
        <x:v>1</x:v>
      </x:c>
      <x:c r="F66" s="16" t="n">
        <x:v>1</x:v>
      </x:c>
      <x:c r="G66" s="29" t="inlineStr">
        <x:is>
          <x:t xml:space="preserve">Ryan, Shaun</x:t>
        </x:is>
      </x:c>
    </x:row>
    <x:row r="67">
      <x:c r="A67" s="19" t="inlineStr">
        <x:is>
          <x:t xml:space="preserve">Randy</x:t>
        </x:is>
      </x:c>
      <x:c r="B67" s="44" t="n">
        <x:v>46076</x:v>
      </x:c>
      <x:c r="C67" s="40" t="n">
        <x:v>90</x:v>
      </x:c>
      <x:c r="D67" s="40" t="n">
        <x:v>47</x:v>
      </x:c>
      <x:c r="E67" s="16" t="n">
        <x:v>2</x:v>
      </x:c>
      <x:c r="F67" s="16" t="n">
        <x:v>0</x:v>
      </x:c>
      <x:c r="G67" s="29" t="inlineStr">
        <x:is>
          <x:t xml:space="preserve">Will, Ivan</x:t>
        </x:is>
      </x:c>
    </x:row>
    <x:row r="68">
      <x:c r="A68" s="43" t="inlineStr">
        <x:is>
          <x:t xml:space="preserve">Desiree</x:t>
        </x:is>
      </x:c>
      <x:c r="B68" s="44" t="n">
        <x:v>46076</x:v>
      </x:c>
      <x:c r="C68" s="39" t="n">
        <x:v>11</x:v>
      </x:c>
      <x:c r="D68" s="39" t="n">
        <x:v>9</x:v>
      </x:c>
      <x:c r="E68" s="45" t="n">
        <x:v>0</x:v>
      </x:c>
      <x:c r="F68" s="45" t="n">
        <x:v>0</x:v>
      </x:c>
      <x:c r="G68" s="46" t="n"/>
    </x:row>
    <x:row r="69">
      <x:c r="A69" s="43" t="inlineStr">
        <x:is>
          <x:t xml:space="preserve">Daniel Franco</x:t>
        </x:is>
      </x:c>
      <x:c r="B69" s="44" t="n">
        <x:v>46097</x:v>
      </x:c>
      <x:c r="C69" s="39" t="n"/>
      <x:c r="D69" s="39" t="n"/>
      <x:c r="E69" s="45" t="n">
        <x:v>0</x:v>
      </x:c>
      <x:c r="F69" s="45" t="n">
        <x:v>1</x:v>
      </x:c>
      <x:c r="G69" s="46" t="n">
        <x:v>13136224502</x:v>
      </x:c>
    </x:row>
    <x:row r="70">
      <x:c r="A70" s="43" t="inlineStr">
        <x:is>
          <x:t xml:space="preserve">Richard Ramilo</x:t>
        </x:is>
      </x:c>
      <x:c r="B70" s="44" t="n">
        <x:v>46097</x:v>
      </x:c>
      <x:c r="C70" s="39" t="n"/>
      <x:c r="D70" s="39" t="n"/>
      <x:c r="E70" s="45" t="n">
        <x:v>2</x:v>
      </x:c>
      <x:c r="F70" s="45" t="n">
        <x:v>0</x:v>
      </x:c>
      <x:c r="G70" s="46" t="inlineStr">
        <x:is>
          <x:t xml:space="preserve">sam, josh</x:t>
        </x:is>
      </x:c>
    </x:row>
    <x:row r="71">
      <x:c r="A71" s="43" t="inlineStr">
        <x:is>
          <x:t xml:space="preserve">Eddie Murillo</x:t>
        </x:is>
      </x:c>
      <x:c r="B71" s="44" t="n">
        <x:v>46097</x:v>
      </x:c>
      <x:c r="C71" s="39" t="n"/>
      <x:c r="D71" s="39" t="n"/>
      <x:c r="E71" s="45" t="n">
        <x:v>1</x:v>
      </x:c>
      <x:c r="F71" s="45" t="n">
        <x:v>0</x:v>
      </x:c>
      <x:c r="G71" s="46" t="n">
        <x:v>15864800495</x:v>
      </x:c>
    </x:row>
    <x:row r="72">
      <x:c r="A72" s="43" t="inlineStr">
        <x:is>
          <x:t xml:space="preserve">Randy Nadera</x:t>
        </x:is>
      </x:c>
      <x:c r="B72" s="44" t="n">
        <x:v>46083</x:v>
      </x:c>
      <x:c r="C72" s="39" t="n"/>
      <x:c r="D72" s="39" t="n"/>
      <x:c r="E72" s="45" t="n">
        <x:v>4</x:v>
      </x:c>
      <x:c r="F72" s="45" t="n">
        <x:v>0</x:v>
      </x:c>
      <x:c r="G72" s="46" t="inlineStr">
        <x:is>
          <x:t xml:space="preserve">Hector, Martin, Ozvaldo, Alex</x:t>
        </x:is>
      </x:c>
    </x:row>
    <x:row r="73">
      <x:c r="A73" s="43" t="inlineStr">
        <x:is>
          <x:t xml:space="preserve">Daniel Franco</x:t>
        </x:is>
      </x:c>
      <x:c r="B73" s="44" t="n">
        <x:v>46084</x:v>
      </x:c>
      <x:c r="C73" s="39" t="n"/>
      <x:c r="D73" s="39" t="n"/>
      <x:c r="E73" s="45" t="n">
        <x:v>1</x:v>
      </x:c>
      <x:c r="F73" s="45" t="n">
        <x:v>0</x:v>
      </x:c>
      <x:c r="G73" s="46" t="inlineStr">
        <x:is>
          <x:t xml:space="preserve">Joel</x:t>
        </x:is>
      </x:c>
    </x:row>
    <x:row r="74">
      <x:c r="A74" s="43" t="inlineStr">
        <x:is>
          <x:t xml:space="preserve">Eddie Murillo</x:t>
        </x:is>
      </x:c>
      <x:c r="B74" s="44" t="n">
        <x:v>46084</x:v>
      </x:c>
      <x:c r="C74" s="39" t="n"/>
      <x:c r="D74" s="39" t="n"/>
      <x:c r="E74" s="45" t="n">
        <x:v>1</x:v>
      </x:c>
      <x:c r="F74" s="45" t="n">
        <x:v>0</x:v>
      </x:c>
      <x:c r="G74" s="46" t="n">
        <x:v>15206476068</x:v>
      </x:c>
    </x:row>
    <x:row r="75">
      <x:c r="A75" s="43" t="inlineStr">
        <x:is>
          <x:t xml:space="preserve">Randy Nadera</x:t>
        </x:is>
      </x:c>
      <x:c r="B75" s="44" t="n">
        <x:v>46084</x:v>
      </x:c>
      <x:c r="C75" s="39" t="n"/>
      <x:c r="D75" s="39" t="n"/>
      <x:c r="E75" s="45" t="n">
        <x:v>5</x:v>
      </x:c>
      <x:c r="F75" s="45" t="n">
        <x:v>0</x:v>
      </x:c>
      <x:c r="G75" s="46" t="inlineStr">
        <x:is>
          <x:t xml:space="preserve">Steve, Eric, Rick, Scott, Andrew</x:t>
        </x:is>
      </x:c>
    </x:row>
    <x:row r="76">
      <x:c r="A76" s="43" t="inlineStr">
        <x:is>
          <x:t xml:space="preserve">Daniel Franco</x:t>
        </x:is>
      </x:c>
      <x:c r="B76" s="44" t="n">
        <x:v>46085</x:v>
      </x:c>
      <x:c r="C76" s="39" t="n"/>
      <x:c r="D76" s="39" t="n"/>
      <x:c r="E76" s="45" t="n">
        <x:v>3</x:v>
      </x:c>
      <x:c r="F76" s="45" t="n">
        <x:v>0</x:v>
      </x:c>
      <x:c r="G76" s="46" t="inlineStr">
        <x:is>
          <x:t xml:space="preserve">Jim, Omar, Albert</x:t>
        </x:is>
      </x:c>
    </x:row>
    <x:row r="77">
      <x:c r="A77" s="43" t="inlineStr">
        <x:is>
          <x:t xml:space="preserve">Eddie Murillo</x:t>
        </x:is>
      </x:c>
      <x:c r="B77" s="44" t="n">
        <x:v>46085</x:v>
      </x:c>
      <x:c r="C77" s="39" t="n"/>
      <x:c r="D77" s="39" t="n"/>
      <x:c r="E77" s="45" t="n">
        <x:v>3</x:v>
      </x:c>
      <x:c r="F77" s="45" t="n">
        <x:v>0</x:v>
      </x:c>
      <x:c r="G77" s="46" t="inlineStr">
        <x:is>
          <x:t xml:space="preserve">#ERROR!</x:t>
        </x:is>
      </x:c>
    </x:row>
    <x:row r="78">
      <x:c r="A78" s="43" t="inlineStr">
        <x:is>
          <x:t xml:space="preserve">Randy Nadera</x:t>
        </x:is>
      </x:c>
      <x:c r="B78" s="44" t="n">
        <x:v>46085</x:v>
      </x:c>
      <x:c r="C78" s="39" t="n"/>
      <x:c r="D78" s="39" t="n"/>
      <x:c r="E78" s="45" t="n">
        <x:v>2</x:v>
      </x:c>
      <x:c r="F78" s="45" t="n">
        <x:v>0</x:v>
      </x:c>
      <x:c r="G78" s="46" t="inlineStr">
        <x:is>
          <x:t xml:space="preserve">Paul, Scott</x:t>
        </x:is>
      </x:c>
    </x:row>
    <x:row r="79">
      <x:c r="A79" s="43" t="inlineStr">
        <x:is>
          <x:t xml:space="preserve">Daniel Franco</x:t>
        </x:is>
      </x:c>
      <x:c r="B79" s="44" t="n">
        <x:v>46086</x:v>
      </x:c>
      <x:c r="C79" s="39" t="n"/>
      <x:c r="D79" s="39" t="n"/>
      <x:c r="E79" s="45" t="n">
        <x:v>4</x:v>
      </x:c>
      <x:c r="F79" s="45" t="n">
        <x:v>0</x:v>
      </x:c>
      <x:c r="G79" s="46" t="inlineStr">
        <x:is>
          <x:t xml:space="preserve">Rae, Jesus, Carlos, +16028155038</x:t>
        </x:is>
      </x:c>
    </x:row>
    <x:row r="80">
      <x:c r="A80" s="43" t="inlineStr">
        <x:is>
          <x:t xml:space="preserve">Eddie Murillo</x:t>
        </x:is>
      </x:c>
      <x:c r="B80" s="44" t="n">
        <x:v>46086</x:v>
      </x:c>
      <x:c r="C80" s="39" t="n"/>
      <x:c r="D80" s="39" t="n"/>
      <x:c r="E80" s="45" t="n">
        <x:v>1</x:v>
      </x:c>
      <x:c r="F80" s="45" t="n">
        <x:v>0</x:v>
      </x:c>
      <x:c r="G80" s="46" t="inlineStr">
        <x:is>
          <x:t xml:space="preserve">Dan martin</x:t>
        </x:is>
      </x:c>
    </x:row>
    <x:row r="81">
      <x:c r="A81" s="43" t="inlineStr">
        <x:is>
          <x:t xml:space="preserve">Randy Nadera</x:t>
        </x:is>
      </x:c>
      <x:c r="B81" s="44" t="n">
        <x:v>46086</x:v>
      </x:c>
      <x:c r="C81" s="39" t="n"/>
      <x:c r="D81" s="39" t="n"/>
      <x:c r="E81" s="45" t="n">
        <x:v>4</x:v>
      </x:c>
      <x:c r="F81" s="45" t="n">
        <x:v>0</x:v>
      </x:c>
      <x:c r="G81" s="46" t="inlineStr">
        <x:is>
          <x:t xml:space="preserve">Skip, Martin, Gordon, Ramon</x:t>
        </x:is>
      </x:c>
    </x:row>
    <x:row r="82">
      <x:c r="A82" s="43" t="inlineStr">
        <x:is>
          <x:t xml:space="preserve">Randy Nadera</x:t>
        </x:is>
      </x:c>
      <x:c r="B82" s="44" t="n">
        <x:v>46087</x:v>
      </x:c>
      <x:c r="C82" s="39" t="n"/>
      <x:c r="D82" s="39" t="n"/>
      <x:c r="E82" s="45" t="n">
        <x:v>3</x:v>
      </x:c>
      <x:c r="F82" s="45" t="n">
        <x:v>0</x:v>
      </x:c>
      <x:c r="G82" s="46" t="inlineStr">
        <x:is>
          <x:t xml:space="preserve">Marcus, Andrew, Tony</x:t>
        </x:is>
      </x:c>
    </x:row>
    <x:row r="83">
      <x:c r="A83" s="43" t="inlineStr">
        <x:is>
          <x:t xml:space="preserve">Daniel Franco</x:t>
        </x:is>
      </x:c>
      <x:c r="B83" s="44" t="n">
        <x:v>46090</x:v>
      </x:c>
      <x:c r="C83" s="39" t="n"/>
      <x:c r="D83" s="39" t="n"/>
      <x:c r="E83" s="45" t="n">
        <x:v>0</x:v>
      </x:c>
      <x:c r="F83" s="45" t="n">
        <x:v>4</x:v>
      </x:c>
      <x:c r="G83" s="46" t="inlineStr">
        <x:is>
          <x:t xml:space="preserve">#ERROR!</x:t>
        </x:is>
      </x:c>
    </x:row>
    <x:row r="84">
      <x:c r="A84" s="43" t="inlineStr">
        <x:is>
          <x:t xml:space="preserve">Eddie Murillo</x:t>
        </x:is>
      </x:c>
      <x:c r="B84" s="44" t="n">
        <x:v>46090</x:v>
      </x:c>
      <x:c r="C84" s="39" t="n"/>
      <x:c r="D84" s="39" t="n"/>
      <x:c r="E84" s="45" t="n">
        <x:v>1</x:v>
      </x:c>
      <x:c r="F84" s="45" t="n">
        <x:v>1</x:v>
      </x:c>
      <x:c r="G84" s="46" t="inlineStr">
        <x:is>
          <x:t xml:space="preserve">oscar, +16029084660</x:t>
        </x:is>
      </x:c>
    </x:row>
    <x:row r="85">
      <x:c r="A85" s="43" t="inlineStr">
        <x:is>
          <x:t xml:space="preserve">Randy Nadera</x:t>
        </x:is>
      </x:c>
      <x:c r="B85" s="44" t="n">
        <x:v>46090</x:v>
      </x:c>
      <x:c r="C85" s="39" t="n"/>
      <x:c r="D85" s="39" t="n"/>
      <x:c r="E85" s="45" t="n">
        <x:v>2</x:v>
      </x:c>
      <x:c r="F85" s="45" t="n">
        <x:v>1</x:v>
      </x:c>
      <x:c r="G85" s="46" t="inlineStr">
        <x:is>
          <x:t xml:space="preserve">Gordon, Scott, +19529564077</x:t>
        </x:is>
      </x:c>
    </x:row>
    <x:row r="86">
      <x:c r="A86" s="43" t="inlineStr">
        <x:is>
          <x:t xml:space="preserve">Richard Ramilo</x:t>
        </x:is>
      </x:c>
      <x:c r="B86" s="44" t="n">
        <x:v>46090</x:v>
      </x:c>
      <x:c r="C86" s="39" t="n"/>
      <x:c r="D86" s="39" t="n"/>
      <x:c r="E86" s="45" t="n">
        <x:v>3</x:v>
      </x:c>
      <x:c r="F86" s="45" t="n">
        <x:v>0</x:v>
      </x:c>
      <x:c r="G86" s="46" t="inlineStr">
        <x:is>
          <x:t xml:space="preserve">#ERROR!</x:t>
        </x:is>
      </x:c>
    </x:row>
    <x:row r="87">
      <x:c r="A87" s="43" t="inlineStr">
        <x:is>
          <x:t xml:space="preserve">Daniel Franco</x:t>
        </x:is>
      </x:c>
      <x:c r="B87" s="44" t="n">
        <x:v>46091</x:v>
      </x:c>
      <x:c r="C87" s="39" t="n"/>
      <x:c r="D87" s="39" t="n"/>
      <x:c r="E87" s="45" t="n">
        <x:v>1</x:v>
      </x:c>
      <x:c r="F87" s="45" t="n">
        <x:v>0</x:v>
      </x:c>
      <x:c r="G87" s="46" t="inlineStr">
        <x:is>
          <x:t xml:space="preserve">Sage</x:t>
        </x:is>
      </x:c>
    </x:row>
    <x:row r="88">
      <x:c r="A88" s="43" t="inlineStr">
        <x:is>
          <x:t xml:space="preserve">Eddie Murillo</x:t>
        </x:is>
      </x:c>
      <x:c r="B88" s="44" t="n">
        <x:v>46091</x:v>
      </x:c>
      <x:c r="C88" s="39" t="n"/>
      <x:c r="D88" s="39" t="n"/>
      <x:c r="E88" s="45" t="n">
        <x:v>1</x:v>
      </x:c>
      <x:c r="F88" s="45" t="n">
        <x:v>1</x:v>
      </x:c>
      <x:c r="G88" s="46" t="inlineStr">
        <x:is>
          <x:t xml:space="preserve">anthony, +13174800407</x:t>
        </x:is>
      </x:c>
    </x:row>
    <x:row r="89">
      <x:c r="A89" s="43" t="inlineStr">
        <x:is>
          <x:t xml:space="preserve">Randy Nadera</x:t>
        </x:is>
      </x:c>
      <x:c r="B89" s="44" t="n">
        <x:v>46091</x:v>
      </x:c>
      <x:c r="C89" s="39" t="n"/>
      <x:c r="D89" s="39" t="n"/>
      <x:c r="E89" s="45" t="n">
        <x:v>3</x:v>
      </x:c>
      <x:c r="F89" s="45" t="n">
        <x:v>1</x:v>
      </x:c>
      <x:c r="G89" s="46" t="inlineStr">
        <x:is>
          <x:t xml:space="preserve">Paul, Keith, James, +19378776189</x:t>
        </x:is>
      </x:c>
    </x:row>
    <x:row r="90">
      <x:c r="A90" s="43" t="inlineStr">
        <x:is>
          <x:t xml:space="preserve">Richard Ramilo</x:t>
        </x:is>
      </x:c>
      <x:c r="B90" s="44" t="n">
        <x:v>46091</x:v>
      </x:c>
      <x:c r="C90" s="39" t="n"/>
      <x:c r="D90" s="39" t="n"/>
      <x:c r="E90" s="45" t="n">
        <x:v>2</x:v>
      </x:c>
      <x:c r="F90" s="45" t="n">
        <x:v>1</x:v>
      </x:c>
      <x:c r="G90" s="46" t="inlineStr">
        <x:is>
          <x:t xml:space="preserve">Moses, Amar, +15743120531</x:t>
        </x:is>
      </x:c>
    </x:row>
    <x:row r="91">
      <x:c r="A91" s="43" t="inlineStr">
        <x:is>
          <x:t xml:space="preserve">Eddie Murillo</x:t>
        </x:is>
      </x:c>
      <x:c r="B91" s="44" t="n">
        <x:v>46092</x:v>
      </x:c>
      <x:c r="C91" s="39" t="n"/>
      <x:c r="D91" s="39" t="n"/>
      <x:c r="E91" s="45" t="n">
        <x:v>2</x:v>
      </x:c>
      <x:c r="F91" s="45" t="n">
        <x:v>1</x:v>
      </x:c>
      <x:c r="G91" s="46" t="inlineStr">
        <x:is>
          <x:t xml:space="preserve">ROB, josh, +12604350125</x:t>
        </x:is>
      </x:c>
    </x:row>
    <x:row r="92">
      <x:c r="A92" s="43" t="inlineStr">
        <x:is>
          <x:t xml:space="preserve">Randy Nadera</x:t>
        </x:is>
      </x:c>
      <x:c r="B92" s="44" t="n">
        <x:v>46092</x:v>
      </x:c>
      <x:c r="C92" s="39" t="n"/>
      <x:c r="D92" s="39" t="n"/>
      <x:c r="E92" s="45" t="n">
        <x:v>6</x:v>
      </x:c>
      <x:c r="F92" s="45" t="n">
        <x:v>3</x:v>
      </x:c>
      <x:c r="G92" s="46" t="inlineStr">
        <x:is>
          <x:t xml:space="preserve">Raphael, Andrew, Caleb, +16024482899, Moussa, Anthony, +16025700752, Eric, +19378776189</x:t>
        </x:is>
      </x:c>
    </x:row>
    <x:row r="93">
      <x:c r="A93" s="43" t="inlineStr">
        <x:is>
          <x:t xml:space="preserve">Richard Ramilo</x:t>
        </x:is>
      </x:c>
      <x:c r="B93" s="44" t="n">
        <x:v>46092</x:v>
      </x:c>
      <x:c r="C93" s="39" t="n"/>
      <x:c r="D93" s="39" t="n"/>
      <x:c r="E93" s="45" t="n">
        <x:v>2</x:v>
      </x:c>
      <x:c r="F93" s="45" t="n">
        <x:v>0</x:v>
      </x:c>
      <x:c r="G93" s="46" t="inlineStr">
        <x:is>
          <x:t xml:space="preserve">Juan, Moses</x:t>
        </x:is>
      </x:c>
    </x:row>
    <x:row r="94">
      <x:c r="A94" s="43" t="inlineStr">
        <x:is>
          <x:t xml:space="preserve">Daniel Franco</x:t>
        </x:is>
      </x:c>
      <x:c r="B94" s="44" t="n">
        <x:v>46093</x:v>
      </x:c>
      <x:c r="C94" s="39" t="n"/>
      <x:c r="D94" s="39" t="n"/>
      <x:c r="E94" s="45" t="n">
        <x:v>2</x:v>
      </x:c>
      <x:c r="F94" s="45" t="n">
        <x:v>1</x:v>
      </x:c>
      <x:c r="G94" s="46" t="inlineStr">
        <x:is>
          <x:t xml:space="preserve">John, Joel, +14807096442</x:t>
        </x:is>
      </x:c>
    </x:row>
    <x:row r="95">
      <x:c r="A95" s="43" t="inlineStr">
        <x:is>
          <x:t xml:space="preserve">Eddie Murillo</x:t>
        </x:is>
      </x:c>
      <x:c r="B95" s="44" t="n">
        <x:v>46093</x:v>
      </x:c>
      <x:c r="C95" s="39" t="n"/>
      <x:c r="D95" s="39" t="n"/>
      <x:c r="E95" s="45" t="n">
        <x:v>3</x:v>
      </x:c>
      <x:c r="F95" s="45" t="n">
        <x:v>1</x:v>
      </x:c>
      <x:c r="G95" s="46" t="inlineStr">
        <x:is>
          <x:t xml:space="preserve">France, shawn, firodel, +15866156955</x:t>
        </x:is>
      </x:c>
    </x:row>
    <x:row r="96">
      <x:c r="A96" s="43" t="inlineStr">
        <x:is>
          <x:t xml:space="preserve">Randy Nadera</x:t>
        </x:is>
      </x:c>
      <x:c r="B96" s="44" t="n">
        <x:v>46093</x:v>
      </x:c>
      <x:c r="C96" s="39" t="n"/>
      <x:c r="D96" s="39" t="n"/>
      <x:c r="E96" s="45" t="n">
        <x:v>1</x:v>
      </x:c>
      <x:c r="F96" s="45" t="n">
        <x:v>4</x:v>
      </x:c>
      <x:c r="G96" s="46" t="inlineStr">
        <x:is>
          <x:t xml:space="preserve">#ERROR!</x:t>
        </x:is>
      </x:c>
    </x:row>
    <x:row r="97">
      <x:c r="A97" s="43" t="inlineStr">
        <x:is>
          <x:t xml:space="preserve">Richard Ramilo</x:t>
        </x:is>
      </x:c>
      <x:c r="B97" s="44" t="n">
        <x:v>46093</x:v>
      </x:c>
      <x:c r="C97" s="39" t="n"/>
      <x:c r="D97" s="39" t="n"/>
      <x:c r="E97" s="45" t="n">
        <x:v>3</x:v>
      </x:c>
      <x:c r="F97" s="45" t="n">
        <x:v>2</x:v>
      </x:c>
      <x:c r="G97" s="46" t="inlineStr">
        <x:is>
          <x:t xml:space="preserve">rah, +13133341392, tom, joe, +15869434896</x:t>
        </x:is>
      </x:c>
    </x:row>
    <x:row r="98">
      <x:c r="A98" s="43" t="inlineStr">
        <x:is>
          <x:t xml:space="preserve">Daniel Franco</x:t>
        </x:is>
      </x:c>
      <x:c r="B98" s="44" t="n">
        <x:v>46094</x:v>
      </x:c>
      <x:c r="C98" s="39" t="n"/>
      <x:c r="D98" s="39" t="n"/>
      <x:c r="E98" s="45" t="n">
        <x:v>3</x:v>
      </x:c>
      <x:c r="F98" s="45" t="n">
        <x:v>3</x:v>
      </x:c>
      <x:c r="G98" s="46" t="inlineStr">
        <x:is>
          <x:t xml:space="preserve">#ERROR!</x:t>
        </x:is>
      </x:c>
    </x:row>
    <x:row r="99">
      <x:c r="A99" s="43" t="inlineStr">
        <x:is>
          <x:t xml:space="preserve">Eddie Murillo</x:t>
        </x:is>
      </x:c>
      <x:c r="B99" s="44" t="n">
        <x:v>46094</x:v>
      </x:c>
      <x:c r="C99" s="39" t="n"/>
      <x:c r="D99" s="39" t="n"/>
      <x:c r="E99" s="45" t="n">
        <x:v>1</x:v>
      </x:c>
      <x:c r="F99" s="45" t="n">
        <x:v>5</x:v>
      </x:c>
      <x:c r="G99" s="46" t="inlineStr">
        <x:is>
          <x:t xml:space="preserve">#ERROR!</x:t>
        </x:is>
      </x:c>
    </x:row>
    <x:row r="100">
      <x:c r="A100" s="43" t="inlineStr">
        <x:is>
          <x:t xml:space="preserve">Randy Nadera</x:t>
        </x:is>
      </x:c>
      <x:c r="B100" s="44" t="n">
        <x:v>46094</x:v>
      </x:c>
      <x:c r="C100" s="39" t="n"/>
      <x:c r="D100" s="39" t="n"/>
      <x:c r="E100" s="45" t="n">
        <x:v>2</x:v>
      </x:c>
      <x:c r="F100" s="45" t="n">
        <x:v>0</x:v>
      </x:c>
      <x:c r="G100" s="46" t="inlineStr">
        <x:is>
          <x:t xml:space="preserve">Gordon, Nathan</x:t>
        </x:is>
      </x:c>
    </x:row>
    <x:row r="101">
      <x:c r="A101" s="43" t="inlineStr">
        <x:is>
          <x:t xml:space="preserve">Richard Ramilo</x:t>
        </x:is>
      </x:c>
      <x:c r="B101" s="44" t="n">
        <x:v>46094</x:v>
      </x:c>
      <x:c r="C101" s="39" t="n"/>
      <x:c r="D101" s="39" t="n"/>
      <x:c r="E101" s="45" t="n">
        <x:v>3</x:v>
      </x:c>
      <x:c r="F101" s="45" t="n">
        <x:v>2</x:v>
      </x:c>
      <x:c r="G101" s="46" t="inlineStr">
        <x:is>
          <x:t xml:space="preserve">joe, ato, +15172141690, marc, +15869434896</x:t>
        </x:is>
      </x:c>
    </x:row>
    <x:row r="102">
      <x:c r="A102" s="43" t="inlineStr">
        <x:is>
          <x:t xml:space="preserve">Randy Nadera</x:t>
        </x:is>
      </x:c>
      <x:c r="B102" s="44" t="n">
        <x:v>46095</x:v>
      </x:c>
      <x:c r="C102" s="39" t="n"/>
      <x:c r="D102" s="39" t="n"/>
      <x:c r="E102" s="45" t="n">
        <x:v>1</x:v>
      </x:c>
      <x:c r="F102" s="45" t="n">
        <x:v>0</x:v>
      </x:c>
      <x:c r="G102" s="46" t="inlineStr">
        <x:is>
          <x:t xml:space="preserve">Sean</x:t>
        </x:is>
      </x:c>
    </x:row>
  </x:sheetData>
  <x:dataValidations count="1">
    <x:dataValidation type="list" allowBlank="1" showDropDown="0" showInputMessage="0" showErrorMessage="1" sqref="A2:A67">
      <x:formula1>'Data Config'!$A$2:$A1009</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ColWidth="14.430000305175781" defaultRowHeight="15"/>
  <x:sheetData>
    <x:row r="1">
      <x:c r="A1" s="49" t="inlineStr">
        <x:is>
          <x:t xml:space="preserve">Name</x:t>
        </x:is>
      </x:c>
      <x:c r="B1" s="48" t="inlineStr">
        <x:is>
          <x:t xml:space="preserve">Eddie</x:t>
        </x:is>
      </x:c>
      <x:c r="C1" s="49" t="inlineStr">
        <x:is>
          <x:t xml:space="preserve">Name</x:t>
        </x:is>
      </x:c>
      <x:c r="D1" s="48" t="inlineStr">
        <x:is>
          <x:t xml:space="preserve">Daniel</x:t>
        </x:is>
      </x:c>
      <x:c r="E1" s="49" t="inlineStr">
        <x:is>
          <x:t xml:space="preserve">Name</x:t>
        </x:is>
      </x:c>
      <x:c r="F1" s="48" t="inlineStr">
        <x:is>
          <x:t xml:space="preserve">Randy</x:t>
        </x:is>
      </x:c>
    </x:row>
    <x:row r="2">
      <x:c r="A2" s="49" t="inlineStr">
        <x:is>
          <x:t xml:space="preserve">Start Date</x:t>
        </x:is>
      </x:c>
      <x:c r="B2" s="47" t="n">
        <x:v>46076</x:v>
      </x:c>
      <x:c r="C2" s="49" t="inlineStr">
        <x:is>
          <x:t xml:space="preserve">Start Date</x:t>
        </x:is>
      </x:c>
      <x:c r="D2" s="47" t="n">
        <x:v>46048</x:v>
      </x:c>
      <x:c r="E2" s="49" t="inlineStr">
        <x:is>
          <x:t xml:space="preserve">Start Date</x:t>
        </x:is>
      </x:c>
      <x:c r="F2" s="47" t="n">
        <x:v>46048</x:v>
      </x:c>
    </x:row>
    <x:row r="3">
      <x:c r="A3" s="49" t="inlineStr">
        <x:is>
          <x:t xml:space="preserve">End Date</x:t>
        </x:is>
      </x:c>
      <x:c r="B3" s="47" t="n">
        <x:v>46099</x:v>
      </x:c>
      <x:c r="C3" s="49" t="inlineStr">
        <x:is>
          <x:t xml:space="preserve">End Date</x:t>
        </x:is>
      </x:c>
      <x:c r="D3" s="47" t="n">
        <x:v>46099</x:v>
      </x:c>
      <x:c r="E3" s="49" t="inlineStr">
        <x:is>
          <x:t xml:space="preserve">End Date</x:t>
        </x:is>
      </x:c>
      <x:c r="F3" s="47" t="n">
        <x:v>46099</x:v>
      </x:c>
    </x:row>
    <x:row r="4">
      <x:c r="A4" s="49" t="inlineStr">
        <x:is>
          <x:t xml:space="preserve">Dials</x:t>
        </x:is>
      </x:c>
      <x:c r="B4" s="48">
        <x:f>IF($B$1="",
  SUMIFS('Cold SMS EOD Reports (Setters)'!D$2:D998,'Cold SMS EOD Reports (Setters)'!B$2:B998,"&gt;="&amp;$B$2,'Cold SMS EOD Reports (Setters)'!B$2:B998,"&lt;="&amp;$B$3),
  SUMIFS('Cold SMS EOD Reports (Setters)'!D$2:D998,'Cold SMS EOD Reports (Setters)'!A$2:A998,$B$1,'Cold SMS EOD Reports (Setters)'!B$2:B998,"&gt;="&amp;$B$2,'Cold SMS EOD Reports (Setters)'!B$2:B998,"&lt;="&amp;$B$3))
</x:f>
        <x:v>91</x:v>
      </x:c>
      <x:c r="C4" s="49" t="inlineStr">
        <x:is>
          <x:t xml:space="preserve">Dials</x:t>
        </x:is>
      </x:c>
      <x:c r="D4" s="48">
        <x:f>IF($D$1="",
  SUMIFS('Cold SMS EOD Reports (Setters)'!D$2:D998,
         'Cold SMS EOD Reports (Setters)'!B$2:B998,"&gt;="&amp;$D$2,
         'Cold SMS EOD Reports (Setters)'!B$2:B998,"&lt;="&amp;$D$3),
  SUMIFS('Cold SMS EOD Reports (Setters)'!D$2:D998,
         'Cold SMS EOD Reports (Setters)'!A$2:A998,$D$1,
         'Cold SMS EOD Reports (Setters)'!B$2:B998,"&gt;="&amp;$D$2,
         'Cold SMS EOD Reports (Setters)'!B$2:B998,"&lt;="&amp;$D$3)
)
</x:f>
        <x:v>1570</x:v>
      </x:c>
      <x:c r="E4" s="49" t="inlineStr">
        <x:is>
          <x:t xml:space="preserve">Dials</x:t>
        </x:is>
      </x:c>
      <x:c r="F4" s="48">
        <x:f>IF($F$1="",
  SUMIFS('Cold SMS EOD Reports (Setters)'!D$2:D998,
         'Cold SMS EOD Reports (Setters)'!B$2:B998,"&gt;="&amp;$F$2,
         'Cold SMS EOD Reports (Setters)'!B$2:B998,"&lt;="&amp;$F$3),
  SUMIFS('Cold SMS EOD Reports (Setters)'!D$2:D998,
         'Cold SMS EOD Reports (Setters)'!A$2:A998,$F$1,
         'Cold SMS EOD Reports (Setters)'!B$2:B998,"&gt;="&amp;$F$2,
         'Cold SMS EOD Reports (Setters)'!B$2:B998,"&lt;="&amp;$F$3)
)
</x:f>
        <x:v>1403</x:v>
      </x:c>
    </x:row>
    <x:row r="5">
      <x:c r="A5" s="49" t="inlineStr">
        <x:is>
          <x:t xml:space="preserve">Unique Contacts</x:t>
        </x:is>
      </x:c>
      <x:c r="B5" s="48">
        <x:f>IF($B$1="",
  SUMIFS('Cold SMS EOD Reports (Setters)'!C$2:C998,'Cold SMS EOD Reports (Setters)'!B$2:B998,"&gt;="&amp;$B$2,'Cold SMS EOD Reports (Setters)'!B$2:B998,"&lt;="&amp;$B$3),
  SUMIFS('Cold SMS EOD Reports (Setters)'!C$2:C998,'Cold SMS EOD Reports (Setters)'!A$2:A998,$B$1,'Cold SMS EOD Reports (Setters)'!B$2:B998,"&gt;="&amp;$B$2,'Cold SMS EOD Reports (Setters)'!B$2:B998,"&lt;="&amp;$B$3))
</x:f>
        <x:v>97</x:v>
      </x:c>
      <x:c r="C5" s="49" t="inlineStr">
        <x:is>
          <x:t xml:space="preserve">Unique Contacts</x:t>
        </x:is>
      </x:c>
      <x:c r="D5" s="48">
        <x:f>IF($D$1="",
  SUMIFS('Cold SMS EOD Reports (Setters)'!C$2:C998,
         'Cold SMS EOD Reports (Setters)'!B$2:B998,"&gt;="&amp;$D$2,
         'Cold SMS EOD Reports (Setters)'!B$2:B998,"&lt;="&amp;$D$3),
  SUMIFS('Cold SMS EOD Reports (Setters)'!C$2:C998,
         'Cold SMS EOD Reports (Setters)'!A$2:A998,$D$1,
         'Cold SMS EOD Reports (Setters)'!B$2:B998,"&gt;="&amp;$D$2,
         'Cold SMS EOD Reports (Setters)'!B$2:B998,"&lt;="&amp;$D$3)
)
</x:f>
        <x:v>1749</x:v>
      </x:c>
      <x:c r="E5" s="49" t="inlineStr">
        <x:is>
          <x:t xml:space="preserve">Unique Contacts</x:t>
        </x:is>
      </x:c>
      <x:c r="F5" s="48">
        <x:f>IF($F$1="",
  SUMIFS('Cold SMS EOD Reports (Setters)'!C$2:C998,
         'Cold SMS EOD Reports (Setters)'!B$2:B998,"&gt;="&amp;$F$2,
         'Cold SMS EOD Reports (Setters)'!B$2:B998,"&lt;="&amp;$F$3),
  SUMIFS('Cold SMS EOD Reports (Setters)'!C$2:C998,
         'Cold SMS EOD Reports (Setters)'!A$2:A998,$F$1,
         'Cold SMS EOD Reports (Setters)'!B$2:B998,"&gt;="&amp;$F$2,
         'Cold SMS EOD Reports (Setters)'!B$2:B998,"&lt;="&amp;$F$3)
)
</x:f>
        <x:v>1469</x:v>
      </x:c>
    </x:row>
    <x:row r="6">
      <x:c r="A6" s="49" t="inlineStr">
        <x:is>
          <x:t xml:space="preserve">Unconfirmed</x:t>
        </x:is>
      </x:c>
      <x:c r="B6" s="48">
        <x:f>IF($B$1="",
  SUMIFS('Cold SMS EOD Reports (Setters)'!E$2:E998,'Cold SMS EOD Reports (Setters)'!B$2:B998,"&gt;="&amp;$B$2,'Cold SMS EOD Reports (Setters)'!B$2:B998,"&lt;="&amp;$B$3),
  SUMIFS('Cold SMS EOD Reports (Setters)'!E$2:E998,'Cold SMS EOD Reports (Setters)'!A$2:A998,$B$1,'Cold SMS EOD Reports (Setters)'!B$2:B998,"&gt;="&amp;$B$2,'Cold SMS EOD Reports (Setters)'!B$2:B998,"&lt;="&amp;$B$3))
</x:f>
        <x:v>1</x:v>
      </x:c>
      <x:c r="C6" s="49" t="inlineStr">
        <x:is>
          <x:t xml:space="preserve">Unconfirmed</x:t>
        </x:is>
      </x:c>
      <x:c r="D6" s="48">
        <x:f>IF($D$1="",
  SUMIFS('Cold SMS EOD Reports (Setters)'!E$2:E998,
         'Cold SMS EOD Reports (Setters)'!B$2:B998,"&gt;="&amp;$D$2,
         'Cold SMS EOD Reports (Setters)'!B$2:B998,"&lt;="&amp;$D$3),
  SUMIFS('Cold SMS EOD Reports (Setters)'!E$2:E998,
         'Cold SMS EOD Reports (Setters)'!A$2:A998,$D$1,
         'Cold SMS EOD Reports (Setters)'!B$2:B998,"&gt;="&amp;$D$2,
         'Cold SMS EOD Reports (Setters)'!B$2:B998,"&lt;="&amp;$D$3)
)
</x:f>
        <x:v>52</x:v>
      </x:c>
      <x:c r="E6" s="49" t="inlineStr">
        <x:is>
          <x:t xml:space="preserve">Unconfirmed</x:t>
        </x:is>
      </x:c>
      <x:c r="F6" s="48">
        <x:f>IF($F$1="",
  SUMIFS('Cold SMS EOD Reports (Setters)'!E$2:E998,
         'Cold SMS EOD Reports (Setters)'!B$2:B998,"&gt;="&amp;$F$2,
         'Cold SMS EOD Reports (Setters)'!B$2:B998,"&lt;="&amp;$F$3),
  SUMIFS('Cold SMS EOD Reports (Setters)'!E$2:E998,
         'Cold SMS EOD Reports (Setters)'!A$2:A998,$F$1,
         'Cold SMS EOD Reports (Setters)'!B$2:B998,"&gt;="&amp;$F$2,
         'Cold SMS EOD Reports (Setters)'!B$2:B998,"&lt;="&amp;$F$3)
)
</x:f>
        <x:v>48</x:v>
      </x:c>
    </x:row>
    <x:row r="7">
      <x:c r="A7" s="49" t="inlineStr">
        <x:is>
          <x:t xml:space="preserve">Confirmed</x:t>
        </x:is>
      </x:c>
      <x:c r="B7" s="48" t="e">
        <x:f>IF($B$1="",
  SUMIFS('Cold SMS EOD Reports (Setters)'!F$5:F998,'Cold SMS EOD Reports (Setters)'!B$2:B998,"&gt;="&amp;$B$2,'Cold SMS EOD Reports (Setters)'!B$2:B998,"&lt;="&amp;$B$3),
  SUMIFS('Cold SMS EOD Reports (Setters)'!F$5:F998,'Cold SMS EOD Reports (Setters)'!A$2:A998,$B$1,'Cold SMS EOD Reports (Setters)'!B$2:B998,"&gt;="&amp;$B$2,'Cold SMS EOD Reports (Setters)'!B$2:B998,"&lt;="&amp;$B$3))
</x:f>
      </x:c>
      <x:c r="C7" s="49" t="inlineStr">
        <x:is>
          <x:t xml:space="preserve">Confirmed</x:t>
        </x:is>
      </x:c>
      <x:c r="D7" s="48" t="e">
        <x:f>IF($D$1="",
  SUMIFS('Cold SMS EOD Reports (Setters)'!F$5:F998,
         'Cold SMS EOD Reports (Setters)'!B$2:B998,"&gt;="&amp;$D$2,
         'Cold SMS EOD Reports (Setters)'!B$2:B998,"&lt;="&amp;$D$3),
  SUMIFS('Cold SMS EOD Reports (Setters)'!F$5:F998,
         'Cold SMS EOD Reports (Setters)'!A$2:A998,$D$1,
         'Cold SMS EOD Reports (Setters)'!B$2:B998,"&gt;="&amp;$D$2,
         'Cold SMS EOD Reports (Setters)'!B$2:B998,"&lt;="&amp;$D$3)
)
</x:f>
      </x:c>
      <x:c r="E7" s="49" t="inlineStr">
        <x:is>
          <x:t xml:space="preserve">Confirmed</x:t>
        </x:is>
      </x:c>
      <x:c r="F7" s="48" t="e">
        <x:f>IF($F$1="",
  SUMIFS('Cold SMS EOD Reports (Setters)'!F$5:F998,
         'Cold SMS EOD Reports (Setters)'!B$2:B998,"&gt;="&amp;$F$2,
         'Cold SMS EOD Reports (Setters)'!B$2:B998,"&lt;="&amp;$F$3),
  SUMIFS('Cold SMS EOD Reports (Setters)'!F$5:F998,
         'Cold SMS EOD Reports (Setters)'!A$2:A998,$F$1,
         'Cold SMS EOD Reports (Setters)'!B$2:B998,"&gt;="&amp;$F$2,
         'Cold SMS EOD Reports (Setters)'!B$2:B998,"&lt;="&amp;$F$3)
)
</x:f>
      </x:c>
    </x:row>
    <x:row r="8">
      <x:c r="A8" s="49" t="n"/>
    </x:row>
  </x:sheetData>
  <x:dataValidations count="1">
    <x:dataValidation type="list" allowBlank="1" showDropDown="0" showInputMessage="0" showErrorMessage="1" sqref="B1 D1 F1">
      <x:formula1>'Data Config'!$A$2:$A998</x:formula1>
    </x:dataValidation>
  </x:dataValidations>
  <x:pageMargins left="0.7" right="0.7" top="0.75" bottom="0.75" header="0.3" footer="0.3"/>
</x:worksheet>
</file>

<file path=xl/worksheets/sheet4.xml><?xml version="1.0" encoding="utf-8"?>
<x:worksheet xmlns:x="http://schemas.openxmlformats.org/spreadsheetml/2006/main">
  <x:sheetFormatPr baseColWidth="8" defaultColWidth="14.430000305175781" defaultRowHeight="15"/>
  <x:cols>
    <x:col min="1" max="1" width="10.430000305175781" style="116" customWidth="1"/>
    <x:col min="2" max="2" width="4.139999866485596" style="116" hidden="1" customWidth="1"/>
    <x:col min="3" max="3" width="18.139999389648438" style="116" customWidth="1"/>
    <x:col min="4" max="4" width="17.290000915527344" style="116" customWidth="1"/>
    <x:col min="5" max="5" width="13.710000038146973" style="116" customWidth="1"/>
    <x:col min="6" max="6" width="21.139999389648438" style="116" customWidth="1"/>
    <x:col min="7" max="7" width="18.43000030517578" style="116" customWidth="1"/>
    <x:col min="8" max="8" width="10.569999694824219" style="116" customWidth="1"/>
    <x:col min="9" max="11" width="14.140000343322754" style="116" customWidth="1"/>
    <x:col min="12" max="12" width="31.43000030517578" style="116" customWidth="1"/>
    <x:col min="13" max="13" width="53.86000061035156" style="116" customWidth="1"/>
    <x:col min="14" max="16" width="16" style="116" customWidth="1"/>
    <x:col min="17" max="17" width="31.56999969482422" style="116" hidden="1" customWidth="1"/>
    <x:col min="18" max="18" width="8.710000038146973" style="116" hidden="1" customWidth="1"/>
    <x:col min="19" max="44" width="8.710000038146973" style="116" customWidth="1"/>
  </x:cols>
  <x:sheetData>
    <x:row r="1" s="116" customFormat="1" ht="15.75" customHeight="1">
      <x:c r="A1" s="50" t="inlineStr">
        <x:is>
          <x:t xml:space="preserve">Date</x:t>
        </x:is>
      </x:c>
      <x:c r="B1" s="52" t="inlineStr">
        <x:is>
          <x:t xml:space="preserve">ID</x:t>
        </x:is>
      </x:c>
      <x:c r="C1" s="52" t="inlineStr">
        <x:is>
          <x:t xml:space="preserve">Client / Lead Name</x:t>
        </x:is>
      </x:c>
      <x:c r="D1" s="52" t="inlineStr">
        <x:is>
          <x:t xml:space="preserve">Source</x:t>
        </x:is>
      </x:c>
      <x:c r="E1" s="52" t="inlineStr">
        <x:is>
          <x:t xml:space="preserve">Setter</x:t>
        </x:is>
      </x:c>
      <x:c r="F1" s="52" t="inlineStr">
        <x:is>
          <x:t xml:space="preserve">Status</x:t>
        </x:is>
      </x:c>
      <x:c r="G1" s="53" t="inlineStr">
        <x:is>
          <x:t xml:space="preserve">Outcome</x:t>
        </x:is>
      </x:c>
      <x:c r="H1" s="52" t="inlineStr">
        <x:is>
          <x:t xml:space="preserve">Closer</x:t>
        </x:is>
      </x:c>
      <x:c r="I1" s="52" t="inlineStr">
        <x:is>
          <x:t xml:space="preserve">Cash Collected</x:t>
        </x:is>
      </x:c>
      <x:c r="J1" s="52" t="inlineStr">
        <x:is>
          <x:t xml:space="preserve">Revenue</x:t>
        </x:is>
      </x:c>
      <x:c r="K1" s="52" t="inlineStr">
        <x:is>
          <x:t xml:space="preserve">Follow Up?</x:t>
        </x:is>
      </x:c>
      <x:c r="L1" s="52" t="inlineStr">
        <x:is>
          <x:t xml:space="preserve">Offer Made</x:t>
        </x:is>
      </x:c>
      <x:c r="M1" s="52" t="inlineStr">
        <x:is>
          <x:t xml:space="preserve">Notes / Follow-up</x:t>
        </x:is>
      </x:c>
      <x:c r="N1" s="52" t="inlineStr">
        <x:is>
          <x:t xml:space="preserve">Fathom Link</x:t>
        </x:is>
      </x:c>
      <x:c r="O1" s="52" t="inlineStr">
        <x:is>
          <x:t xml:space="preserve">Entered By</x:t>
        </x:is>
      </x:c>
      <x:c r="P1" s="52" t="inlineStr">
        <x:is>
          <x:t xml:space="preserve">Entry Timestamp</x:t>
        </x:is>
      </x:c>
      <x:c r="Q1" s="52" t="inlineStr">
        <x:is>
          <x:t xml:space="preserve">MonthNum</x:t>
        </x:is>
      </x:c>
      <x:c r="R1" s="52" t="inlineStr">
        <x:is>
          <x:t xml:space="preserve">Year</x:t>
        </x:is>
      </x:c>
    </x:row>
    <x:row r="2">
      <x:c r="A2" s="54" t="n">
        <x:v>46099</x:v>
      </x:c>
      <x:c r="B2" s="59" t="n"/>
      <x:c r="C2" s="59" t="inlineStr">
        <x:is>
          <x:t xml:space="preserve">steve nelson</x:t>
        </x:is>
      </x:c>
      <x:c r="D2" s="59" t="inlineStr">
        <x:is>
          <x:t xml:space="preserve">Unknown</x:t>
        </x:is>
      </x:c>
      <x:c r="E2" s="59" t="n"/>
      <x:c r="F2" s="59" t="n"/>
      <x:c r="G2" s="56" t="n"/>
      <x:c r="H2" s="59" t="n"/>
      <x:c r="I2" s="58" t="n"/>
      <x:c r="J2" s="58" t="n"/>
      <x:c r="K2" s="58" t="n"/>
      <x:c r="L2" s="59" t="n"/>
      <x:c r="M2" s="59" t="inlineStr">
        <x:is>
          <x:t xml:space="preserve">Added from Fathom Calls (sales call audit)</x:t>
        </x:is>
      </x:c>
      <x:c r="N2" s="60" t="inlineStr">
        <x:is>
          <x:t xml:space="preserve">https://fathom.video/share/3Rq5hx1qyJEgqRxfumxaAzBL72JykHUz</x:t>
        </x:is>
      </x:c>
      <x:c r="O2" s="59" t="inlineStr">
        <x:is>
          <x:t xml:space="preserve">ChatGPT</x:t>
        </x:is>
      </x:c>
      <x:c r="P2" s="58" t="inlineStr">
        <x:is>
          <x:t xml:space="preserve">2026-03-19T03:25:00Z</x:t>
        </x:is>
      </x:c>
      <x:c r="Q2" s="59" t="n">
        <x:v>3</x:v>
      </x:c>
      <x:c r="R2" s="59" t="n">
        <x:v>2026</x:v>
      </x:c>
    </x:row>
    <x:row r="3">
      <x:c r="A3" s="54" t="n">
        <x:v>46099</x:v>
      </x:c>
      <x:c r="B3" s="48" t="n"/>
      <x:c r="C3" s="48" t="inlineStr">
        <x:is>
          <x:t xml:space="preserve">tyrone smith</x:t>
        </x:is>
      </x:c>
      <x:c r="D3" s="48" t="inlineStr">
        <x:is>
          <x:t xml:space="preserve">Unknown</x:t>
        </x:is>
      </x:c>
      <x:c r="E3" s="48" t="n"/>
      <x:c r="F3" s="48" t="n"/>
      <x:c r="G3" s="82" t="n"/>
      <x:c r="H3" s="48" t="n"/>
      <x:c r="I3" s="63" t="n"/>
      <x:c r="J3" s="63" t="n"/>
      <x:c r="K3" s="63" t="n"/>
      <x:c r="M3" t="inlineStr">
        <x:is>
          <x:t xml:space="preserve">Added from Fathom Calls (sales call audit)</x:t>
        </x:is>
      </x:c>
      <x:c r="N3" s="64" t="inlineStr">
        <x:is>
          <x:t xml:space="preserve">https://fathom.video/share/umdqrk2ueV7pbeejRLpWeHxahpZfgdF8</x:t>
        </x:is>
      </x:c>
      <x:c r="O3" s="48" t="inlineStr">
        <x:is>
          <x:t xml:space="preserve">ChatGPT</x:t>
        </x:is>
      </x:c>
      <x:c r="P3" s="63" t="inlineStr">
        <x:is>
          <x:t xml:space="preserve">2026-03-19T03:25:00Z</x:t>
        </x:is>
      </x:c>
      <x:c r="Q3" s="48" t="n">
        <x:v>3</x:v>
      </x:c>
      <x:c r="R3" s="48" t="n">
        <x:v>2026</x:v>
      </x:c>
    </x:row>
    <x:row r="4">
      <x:c r="A4" s="54" t="n">
        <x:v>46095</x:v>
      </x:c>
      <x:c r="B4" s="67" t="inlineStr">
        <x:is>
          <x:t xml:space="preserve">uE53cV6EJVuYAV6sVLAK</x:t>
        </x:is>
      </x:c>
      <x:c r="C4" s="67" t="inlineStr">
        <x:is>
          <x:t xml:space="preserve">Ben Huso</x:t>
        </x:is>
      </x:c>
      <x:c r="D4" s="67" t="inlineStr">
        <x:is>
          <x:t xml:space="preserve">Ads</x:t>
        </x:is>
      </x:c>
      <x:c r="E4" s="67" t="inlineStr">
        <x:is>
          <x:t xml:space="preserve">Ads - No Setter</x:t>
        </x:is>
      </x:c>
      <x:c r="F4" s="67" t="inlineStr">
        <x:is>
          <x:t xml:space="preserve">No-Show</x:t>
        </x:is>
      </x:c>
      <x:c r="G4" s="68" t="n"/>
      <x:c r="H4" s="67" t="n"/>
      <x:c r="I4" s="63" t="n"/>
      <x:c r="J4" s="63" t="n"/>
      <x:c r="K4" s="63" t="n"/>
      <x:c r="O4" s="48" t="inlineStr">
        <x:is>
          <x:t xml:space="preserve">Evan (Auto)</x:t>
        </x:is>
      </x:c>
      <x:c r="P4" s="63" t="inlineStr">
        <x:is>
          <x:t xml:space="preserve">2026-03-18T15:57:05.014Z</x:t>
        </x:is>
      </x:c>
      <x:c r="Q4" s="48" t="n">
        <x:v>3</x:v>
      </x:c>
      <x:c r="R4" s="48" t="n">
        <x:v>2026</x:v>
      </x:c>
      <x:c r="W4" s="67" t="n"/>
      <x:c r="X4" s="67" t="n"/>
      <x:c r="Y4" s="67" t="n"/>
      <x:c r="Z4" s="67" t="n"/>
      <x:c r="AA4" s="67" t="n"/>
      <x:c r="AB4" s="67" t="n"/>
      <x:c r="AC4" s="67" t="n"/>
      <x:c r="AD4" s="67" t="n"/>
      <x:c r="AE4" s="67" t="n"/>
      <x:c r="AF4" s="67" t="n"/>
      <x:c r="AG4" s="67" t="n"/>
      <x:c r="AH4" s="67" t="n"/>
      <x:c r="AI4" s="67" t="n"/>
      <x:c r="AJ4" s="67" t="n"/>
      <x:c r="AK4" s="67" t="n"/>
      <x:c r="AL4" s="67" t="n"/>
      <x:c r="AM4" s="67" t="n"/>
      <x:c r="AN4" s="67" t="n"/>
      <x:c r="AO4" s="67" t="n"/>
      <x:c r="AP4" s="67" t="n"/>
      <x:c r="AQ4" s="67" t="n"/>
      <x:c r="AR4" s="67" t="n"/>
    </x:row>
    <x:row r="5">
      <x:c r="A5" s="54" t="n">
        <x:v>46094</x:v>
      </x:c>
      <x:c r="B5" s="67" t="inlineStr">
        <x:is>
          <x:t xml:space="preserve">uk6dTZIaRkuctpQ9wKn7</x:t>
        </x:is>
      </x:c>
      <x:c r="C5" s="67" t="n"/>
      <x:c r="D5" s="67" t="inlineStr">
        <x:is>
          <x:t xml:space="preserve">Cold SMS</x:t>
        </x:is>
      </x:c>
      <x:c r="E5" s="67" t="inlineStr">
        <x:is>
          <x:t xml:space="preserve">Unknown</x:t>
        </x:is>
      </x:c>
      <x:c r="F5" s="67" t="inlineStr">
        <x:is>
          <x:t xml:space="preserve">No-Show</x:t>
        </x:is>
      </x:c>
      <x:c r="G5" s="68" t="n"/>
      <x:c r="H5" s="67" t="n"/>
      <x:c r="I5" s="63" t="n"/>
      <x:c r="J5" s="63" t="n"/>
      <x:c r="K5" s="63" t="n"/>
      <x:c r="M5" s="48" t="n"/>
      <x:c r="O5" s="48" t="inlineStr">
        <x:is>
          <x:t xml:space="preserve">Evan (Auto)</x:t>
        </x:is>
      </x:c>
      <x:c r="P5" s="67" t="inlineStr">
        <x:is>
          <x:t xml:space="preserve">2026-03-18T15:57:07.539Z</x:t>
        </x:is>
      </x:c>
      <x:c r="Q5" s="48" t="n">
        <x:v>3</x:v>
      </x:c>
      <x:c r="R5" s="48" t="n">
        <x:v>2026</x:v>
      </x:c>
      <x:c r="V5" s="67" t="n"/>
      <x:c r="W5" s="67" t="n"/>
      <x:c r="X5" s="67" t="n"/>
      <x:c r="Y5" s="67" t="n"/>
      <x:c r="Z5" s="67" t="n"/>
      <x:c r="AA5" s="67" t="n"/>
      <x:c r="AB5" s="67" t="n"/>
      <x:c r="AC5" s="67" t="n"/>
      <x:c r="AD5" s="67" t="n"/>
      <x:c r="AE5" s="67" t="n"/>
      <x:c r="AF5" s="67" t="n"/>
      <x:c r="AG5" s="67" t="n"/>
      <x:c r="AH5" s="67" t="n"/>
      <x:c r="AI5" s="67" t="n"/>
      <x:c r="AJ5" s="67" t="n"/>
      <x:c r="AK5" s="67" t="n"/>
      <x:c r="AL5" s="67" t="n"/>
      <x:c r="AM5" s="67" t="n"/>
      <x:c r="AN5" s="67" t="n"/>
      <x:c r="AO5" s="67" t="n"/>
      <x:c r="AP5" s="67" t="n"/>
      <x:c r="AQ5" s="67" t="n"/>
      <x:c r="AR5" s="67" t="n"/>
    </x:row>
    <x:row r="6">
      <x:c r="A6" s="54" t="n">
        <x:v>46094</x:v>
      </x:c>
      <x:c r="B6" s="48" t="inlineStr">
        <x:is>
          <x:t xml:space="preserve">owFRWiTNfZ44tKjsgddx</x:t>
        </x:is>
      </x:c>
      <x:c r="C6" s="48" t="inlineStr">
        <x:is>
          <x:t xml:space="preserve">Bryan</x:t>
        </x:is>
      </x:c>
      <x:c r="D6" s="48" t="inlineStr">
        <x:is>
          <x:t xml:space="preserve">Cold SMS</x:t>
        </x:is>
      </x:c>
      <x:c r="E6" s="48" t="inlineStr">
        <x:is>
          <x:t xml:space="preserve">Unknown</x:t>
        </x:is>
      </x:c>
      <x:c r="F6" s="48" t="inlineStr">
        <x:is>
          <x:t xml:space="preserve">No-Show</x:t>
        </x:is>
      </x:c>
      <x:c r="G6" s="82" t="n"/>
      <x:c r="H6" s="48" t="n"/>
      <x:c r="I6" s="63" t="n"/>
      <x:c r="J6" s="63" t="n"/>
      <x:c r="K6" s="63" t="n"/>
      <x:c r="N6" s="64" t="n"/>
      <x:c r="O6" s="48" t="inlineStr">
        <x:is>
          <x:t xml:space="preserve">Evan (Auto)</x:t>
        </x:is>
      </x:c>
      <x:c r="P6" s="63" t="inlineStr">
        <x:is>
          <x:t xml:space="preserve">2026-03-18T15:57:07.539Z</x:t>
        </x:is>
      </x:c>
      <x:c r="Q6" s="48" t="n">
        <x:v>3</x:v>
      </x:c>
      <x:c r="R6" s="48" t="n">
        <x:v>2026</x:v>
      </x:c>
    </x:row>
    <x:row r="7">
      <x:c r="A7" s="54" t="n">
        <x:v>46094</x:v>
      </x:c>
      <x:c r="B7" s="67" t="inlineStr">
        <x:is>
          <x:t xml:space="preserve">mmaHO98xYd6Dtt2CAJ8Z</x:t>
        </x:is>
      </x:c>
      <x:c r="C7" s="67" t="inlineStr">
        <x:is>
          <x:t xml:space="preserve">Jake - United Buildings</x:t>
        </x:is>
      </x:c>
      <x:c r="D7" s="67" t="inlineStr">
        <x:is>
          <x:t xml:space="preserve">Cold SMS</x:t>
        </x:is>
      </x:c>
      <x:c r="E7" s="67" t="inlineStr">
        <x:is>
          <x:t xml:space="preserve">Unknown</x:t>
        </x:is>
      </x:c>
      <x:c r="F7" s="67" t="inlineStr">
        <x:is>
          <x:t xml:space="preserve">No-Show</x:t>
        </x:is>
      </x:c>
      <x:c r="G7" s="68" t="n"/>
      <x:c r="H7" s="67" t="n"/>
      <x:c r="I7" s="63" t="n"/>
      <x:c r="J7" s="63" t="n"/>
      <x:c r="K7" s="63" t="n"/>
      <x:c r="O7" s="48" t="inlineStr">
        <x:is>
          <x:t xml:space="preserve">Evan (Auto)</x:t>
        </x:is>
      </x:c>
      <x:c r="P7" s="63" t="inlineStr">
        <x:is>
          <x:t xml:space="preserve">2026-03-18T15:57:07.539Z</x:t>
        </x:is>
      </x:c>
      <x:c r="Q7" s="48" t="n">
        <x:v>3</x:v>
      </x:c>
      <x:c r="R7" s="48" t="n">
        <x:v>2026</x:v>
      </x:c>
      <x:c r="V7" s="67" t="n"/>
      <x:c r="W7" s="67" t="n"/>
      <x:c r="X7" s="67" t="n"/>
      <x:c r="Y7" s="67" t="n"/>
      <x:c r="Z7" s="67" t="n"/>
      <x:c r="AA7" s="67" t="n"/>
      <x:c r="AB7" s="67" t="n"/>
      <x:c r="AC7" s="67" t="n"/>
      <x:c r="AD7" s="67" t="n"/>
      <x:c r="AE7" s="67" t="n"/>
      <x:c r="AF7" s="67" t="n"/>
      <x:c r="AG7" s="67" t="n"/>
      <x:c r="AH7" s="67" t="n"/>
      <x:c r="AI7" s="67" t="n"/>
      <x:c r="AJ7" s="67" t="n"/>
      <x:c r="AK7" s="67" t="n"/>
      <x:c r="AL7" s="67" t="n"/>
      <x:c r="AM7" s="67" t="n"/>
      <x:c r="AN7" s="67" t="n"/>
      <x:c r="AO7" s="67" t="n"/>
      <x:c r="AP7" s="67" t="n"/>
      <x:c r="AQ7" s="67" t="n"/>
      <x:c r="AR7" s="67" t="n"/>
    </x:row>
    <x:row r="8">
      <x:c r="A8" s="54" t="n">
        <x:v>46094</x:v>
      </x:c>
      <x:c r="B8" s="67" t="inlineStr">
        <x:is>
          <x:t xml:space="preserve">aMgPOxnjIZEFt8yZfqmo</x:t>
        </x:is>
      </x:c>
      <x:c r="C8" s="67" t="inlineStr">
        <x:is>
          <x:t xml:space="preserve">Ron</x:t>
        </x:is>
      </x:c>
      <x:c r="D8" s="67" t="inlineStr">
        <x:is>
          <x:t xml:space="preserve">Cold SMS</x:t>
        </x:is>
      </x:c>
      <x:c r="E8" s="67" t="inlineStr">
        <x:is>
          <x:t xml:space="preserve">Unknown</x:t>
        </x:is>
      </x:c>
      <x:c r="F8" s="67" t="inlineStr">
        <x:is>
          <x:t xml:space="preserve">No-Show</x:t>
        </x:is>
      </x:c>
      <x:c r="G8" s="68" t="n"/>
      <x:c r="H8" s="67" t="n"/>
      <x:c r="I8" s="63" t="n"/>
      <x:c r="J8" s="63" t="n"/>
      <x:c r="K8" s="63" t="n"/>
      <x:c r="O8" s="48" t="inlineStr">
        <x:is>
          <x:t xml:space="preserve">Evan (Auto)</x:t>
        </x:is>
      </x:c>
      <x:c r="P8" s="63" t="inlineStr">
        <x:is>
          <x:t xml:space="preserve">2026-03-18T15:57:07.539Z</x:t>
        </x:is>
      </x:c>
      <x:c r="Q8" s="48" t="n">
        <x:v>3</x:v>
      </x:c>
      <x:c r="R8" s="48" t="n">
        <x:v>2026</x:v>
      </x:c>
      <x:c r="V8" s="67" t="n"/>
      <x:c r="W8" s="67" t="n"/>
      <x:c r="X8" s="67" t="n"/>
      <x:c r="Y8" s="67" t="n"/>
      <x:c r="Z8" s="67" t="n"/>
      <x:c r="AA8" s="67" t="n"/>
      <x:c r="AB8" s="67" t="n"/>
      <x:c r="AC8" s="67" t="n"/>
      <x:c r="AD8" s="67" t="n"/>
      <x:c r="AE8" s="67" t="n"/>
      <x:c r="AF8" s="67" t="n"/>
      <x:c r="AG8" s="67" t="n"/>
      <x:c r="AH8" s="67" t="n"/>
      <x:c r="AI8" s="67" t="n"/>
      <x:c r="AJ8" s="67" t="n"/>
      <x:c r="AK8" s="67" t="n"/>
      <x:c r="AL8" s="67" t="n"/>
      <x:c r="AM8" s="67" t="n"/>
      <x:c r="AN8" s="67" t="n"/>
      <x:c r="AO8" s="67" t="n"/>
      <x:c r="AP8" s="67" t="n"/>
      <x:c r="AQ8" s="67" t="n"/>
      <x:c r="AR8" s="67" t="n"/>
    </x:row>
    <x:row r="9">
      <x:c r="A9" s="54" t="n">
        <x:v>46093</x:v>
      </x:c>
      <x:c r="B9" s="67" t="inlineStr">
        <x:is>
          <x:t xml:space="preserve">UP7Nr3Q7X1nzUgOvtV3j</x:t>
        </x:is>
      </x:c>
      <x:c r="C9" s="67" t="inlineStr">
        <x:is>
          <x:t xml:space="preserve">Andrew</x:t>
        </x:is>
      </x:c>
      <x:c r="D9" s="67" t="inlineStr">
        <x:is>
          <x:t xml:space="preserve">Cold SMS</x:t>
        </x:is>
      </x:c>
      <x:c r="E9" s="67" t="inlineStr">
        <x:is>
          <x:t xml:space="preserve">Unknown</x:t>
        </x:is>
      </x:c>
      <x:c r="F9" s="67" t="inlineStr">
        <x:is>
          <x:t xml:space="preserve">No-Show</x:t>
        </x:is>
      </x:c>
      <x:c r="G9" s="68" t="n"/>
      <x:c r="H9" s="67" t="n"/>
      <x:c r="I9" s="63" t="n"/>
      <x:c r="J9" s="63" t="n"/>
      <x:c r="K9" s="63" t="n"/>
      <x:c r="N9" t="n"/>
      <x:c r="O9" s="48" t="inlineStr">
        <x:is>
          <x:t xml:space="preserve">Evan (Auto)</x:t>
        </x:is>
      </x:c>
      <x:c r="P9" s="63" t="inlineStr">
        <x:is>
          <x:t xml:space="preserve">2026-03-18T15:57:11.018Z</x:t>
        </x:is>
      </x:c>
      <x:c r="Q9" s="48" t="n">
        <x:v>3</x:v>
      </x:c>
      <x:c r="R9" s="48" t="n">
        <x:v>2026</x:v>
      </x:c>
      <x:c r="V9" s="67" t="n"/>
      <x:c r="W9" s="67" t="n"/>
      <x:c r="X9" s="67" t="n"/>
      <x:c r="Y9" s="67" t="n"/>
      <x:c r="Z9" s="67" t="n"/>
      <x:c r="AA9" s="67" t="n"/>
      <x:c r="AB9" s="67" t="n"/>
      <x:c r="AC9" s="67" t="n"/>
      <x:c r="AD9" s="67" t="n"/>
      <x:c r="AE9" s="67" t="n"/>
      <x:c r="AF9" s="67" t="n"/>
      <x:c r="AG9" s="67" t="n"/>
      <x:c r="AH9" s="67" t="n"/>
      <x:c r="AI9" s="67" t="n"/>
      <x:c r="AJ9" s="67" t="n"/>
      <x:c r="AK9" s="67" t="n"/>
      <x:c r="AL9" s="67" t="n"/>
      <x:c r="AM9" s="67" t="n"/>
      <x:c r="AN9" s="67" t="n"/>
      <x:c r="AO9" s="67" t="n"/>
      <x:c r="AP9" s="67" t="n"/>
      <x:c r="AQ9" s="67" t="n"/>
      <x:c r="AR9" s="67" t="n"/>
    </x:row>
    <x:row r="10">
      <x:c r="A10" s="54" t="n">
        <x:v>46093</x:v>
      </x:c>
      <x:c r="B10" s="67" t="inlineStr">
        <x:is>
          <x:t xml:space="preserve">ABENBYYU0sLndY4EmoSx</x:t>
        </x:is>
      </x:c>
      <x:c r="C10" s="67" t="inlineStr">
        <x:is>
          <x:t xml:space="preserve">Canceled: Gerry Howatt</x:t>
        </x:is>
      </x:c>
      <x:c r="D10" s="67" t="inlineStr">
        <x:is>
          <x:t xml:space="preserve">Ads</x:t>
        </x:is>
      </x:c>
      <x:c r="E10" s="67" t="inlineStr">
        <x:is>
          <x:t xml:space="preserve">Ads - No Setter</x:t>
        </x:is>
      </x:c>
      <x:c r="F10" s="67" t="inlineStr">
        <x:is>
          <x:t xml:space="preserve">No-Show</x:t>
        </x:is>
      </x:c>
      <x:c r="G10" s="68" t="n"/>
      <x:c r="H10" s="67" t="n"/>
      <x:c r="I10" s="70" t="n"/>
      <x:c r="J10" s="63" t="n"/>
      <x:c r="K10" s="63" t="n"/>
      <x:c r="M10" s="48" t="n"/>
      <x:c r="O10" s="48" t="inlineStr">
        <x:is>
          <x:t xml:space="preserve">Evan (Auto)</x:t>
        </x:is>
      </x:c>
      <x:c r="P10" s="63" t="inlineStr">
        <x:is>
          <x:t xml:space="preserve">2026-03-18T15:57:11.018Z</x:t>
        </x:is>
      </x:c>
      <x:c r="Q10" s="48" t="n">
        <x:v>3</x:v>
      </x:c>
      <x:c r="R10" s="48" t="n">
        <x:v>2026</x:v>
      </x:c>
      <x:c r="V10" s="67" t="n"/>
      <x:c r="W10" s="67" t="n"/>
      <x:c r="X10" s="67" t="n"/>
      <x:c r="Y10" s="67" t="n"/>
      <x:c r="Z10" s="67" t="n"/>
      <x:c r="AA10" s="67" t="n"/>
      <x:c r="AB10" s="67" t="n"/>
      <x:c r="AC10" s="67" t="n"/>
      <x:c r="AD10" s="67" t="n"/>
      <x:c r="AE10" s="67" t="n"/>
      <x:c r="AF10" s="67" t="n"/>
      <x:c r="AG10" s="67" t="n"/>
      <x:c r="AH10" s="67" t="n"/>
      <x:c r="AI10" s="67" t="n"/>
      <x:c r="AJ10" s="67" t="n"/>
      <x:c r="AK10" s="67" t="n"/>
      <x:c r="AL10" s="67" t="n"/>
      <x:c r="AM10" s="67" t="n"/>
      <x:c r="AN10" s="67" t="n"/>
      <x:c r="AO10" s="67" t="n"/>
      <x:c r="AP10" s="67" t="n"/>
      <x:c r="AQ10" s="67" t="n"/>
      <x:c r="AR10" s="67" t="n"/>
    </x:row>
    <x:row r="11">
      <x:c r="A11" s="54" t="n">
        <x:v>46093</x:v>
      </x:c>
      <x:c r="B11" s="48" t="inlineStr">
        <x:is>
          <x:t xml:space="preserve">GVpjNgLuDf99wO5VD94K</x:t>
        </x:is>
      </x:c>
      <x:c r="C11" s="48" t="inlineStr">
        <x:is>
          <x:t xml:space="preserve">Charles  Niesen</x:t>
        </x:is>
      </x:c>
      <x:c r="D11" s="48" t="inlineStr">
        <x:is>
          <x:t xml:space="preserve">Ads</x:t>
        </x:is>
      </x:c>
      <x:c r="E11" s="48" t="inlineStr">
        <x:is>
          <x:t xml:space="preserve">Ads - No Setter</x:t>
        </x:is>
      </x:c>
      <x:c r="F11" s="48" t="inlineStr">
        <x:is>
          <x:t xml:space="preserve">No-Show</x:t>
        </x:is>
      </x:c>
      <x:c r="G11" s="82" t="n"/>
      <x:c r="H11" s="48" t="n"/>
      <x:c r="I11" s="70" t="n"/>
      <x:c r="J11" s="63" t="n"/>
      <x:c r="K11" s="63" t="n"/>
      <x:c r="N11" s="64" t="n"/>
      <x:c r="O11" s="48" t="inlineStr">
        <x:is>
          <x:t xml:space="preserve">Evan (Auto)</x:t>
        </x:is>
      </x:c>
      <x:c r="P11" s="63" t="inlineStr">
        <x:is>
          <x:t xml:space="preserve">2026-03-18T15:57:11.018Z</x:t>
        </x:is>
      </x:c>
      <x:c r="Q11" s="48" t="n">
        <x:v>3</x:v>
      </x:c>
      <x:c r="R11" s="48" t="n">
        <x:v>2026</x:v>
      </x:c>
    </x:row>
    <x:row r="12">
      <x:c r="A12" s="54" t="n">
        <x:v>46093</x:v>
      </x:c>
      <x:c r="B12" s="48" t="inlineStr">
        <x:is>
          <x:t xml:space="preserve">vMP153xG4DLBB8s33Fyi</x:t>
        </x:is>
      </x:c>
      <x:c r="C12" s="48" t="inlineStr">
        <x:is>
          <x:t xml:space="preserve">Craigo Quacko</x:t>
        </x:is>
      </x:c>
      <x:c r="D12" s="48" t="inlineStr">
        <x:is>
          <x:t xml:space="preserve">Ads</x:t>
        </x:is>
      </x:c>
      <x:c r="E12" s="48" t="inlineStr">
        <x:is>
          <x:t xml:space="preserve">Ads - No Setter</x:t>
        </x:is>
      </x:c>
      <x:c r="F12" s="48" t="inlineStr">
        <x:is>
          <x:t xml:space="preserve">No-Show</x:t>
        </x:is>
      </x:c>
      <x:c r="G12" s="82" t="n"/>
      <x:c r="H12" s="48" t="n"/>
      <x:c r="I12" s="70" t="n"/>
      <x:c r="J12" s="63" t="n"/>
      <x:c r="K12" s="63" t="n"/>
      <x:c r="N12" s="64" t="n"/>
      <x:c r="O12" s="48" t="inlineStr">
        <x:is>
          <x:t xml:space="preserve">Evan (Auto)</x:t>
        </x:is>
      </x:c>
      <x:c r="P12" s="63" t="inlineStr">
        <x:is>
          <x:t xml:space="preserve">2026-03-18T15:57:11.018Z</x:t>
        </x:is>
      </x:c>
      <x:c r="Q12" s="48" t="n">
        <x:v>3</x:v>
      </x:c>
      <x:c r="R12" s="48" t="n">
        <x:v>2026</x:v>
      </x:c>
    </x:row>
    <x:row r="13">
      <x:c r="A13" s="54" t="n">
        <x:v>46093</x:v>
      </x:c>
      <x:c r="B13" s="48" t="inlineStr">
        <x:is>
          <x:t xml:space="preserve">TEdVESfAHsKhQG4TIvZM</x:t>
        </x:is>
      </x:c>
      <x:c r="C13" s="48" t="inlineStr">
        <x:is>
          <x:t xml:space="preserve">Jay</x:t>
        </x:is>
      </x:c>
      <x:c r="D13" s="48" t="inlineStr">
        <x:is>
          <x:t xml:space="preserve">Cold SMS</x:t>
        </x:is>
      </x:c>
      <x:c r="E13" s="48" t="inlineStr">
        <x:is>
          <x:t xml:space="preserve">Unknown</x:t>
        </x:is>
      </x:c>
      <x:c r="F13" s="48" t="inlineStr">
        <x:is>
          <x:t xml:space="preserve">No-Show</x:t>
        </x:is>
      </x:c>
      <x:c r="G13" s="82" t="n"/>
      <x:c r="H13" s="48" t="n"/>
      <x:c r="I13" s="70" t="n"/>
      <x:c r="J13" s="63" t="n"/>
      <x:c r="K13" s="63" t="n"/>
      <x:c r="N13" s="64" t="n"/>
      <x:c r="O13" s="48" t="inlineStr">
        <x:is>
          <x:t xml:space="preserve">Evan (Auto)</x:t>
        </x:is>
      </x:c>
      <x:c r="P13" s="63" t="inlineStr">
        <x:is>
          <x:t xml:space="preserve">2026-03-18T15:57:11.018Z</x:t>
        </x:is>
      </x:c>
      <x:c r="Q13" s="48" t="n">
        <x:v>3</x:v>
      </x:c>
      <x:c r="R13" s="48" t="n">
        <x:v>2026</x:v>
      </x:c>
    </x:row>
    <x:row r="14">
      <x:c r="A14" s="54" t="n">
        <x:v>46093</x:v>
      </x:c>
      <x:c r="B14" s="48" t="inlineStr">
        <x:is>
          <x:t xml:space="preserve">WmrAXoel4Yk9BjXtJV6F</x:t>
        </x:is>
      </x:c>
      <x:c r="C14" s="48" t="inlineStr">
        <x:is>
          <x:t xml:space="preserve">Jim</x:t>
        </x:is>
      </x:c>
      <x:c r="D14" s="48" t="inlineStr">
        <x:is>
          <x:t xml:space="preserve">Cold SMS</x:t>
        </x:is>
      </x:c>
      <x:c r="E14" s="48" t="inlineStr">
        <x:is>
          <x:t xml:space="preserve">Unknown</x:t>
        </x:is>
      </x:c>
      <x:c r="F14" s="48" t="inlineStr">
        <x:is>
          <x:t xml:space="preserve">No-Show</x:t>
        </x:is>
      </x:c>
      <x:c r="G14" s="82" t="n"/>
      <x:c r="H14" s="48" t="n"/>
      <x:c r="I14" s="70" t="n"/>
      <x:c r="J14" s="63" t="n"/>
      <x:c r="K14" s="63" t="n"/>
      <x:c r="N14" s="64" t="n"/>
      <x:c r="O14" s="48" t="inlineStr">
        <x:is>
          <x:t xml:space="preserve">Evan (Auto)</x:t>
        </x:is>
      </x:c>
      <x:c r="P14" s="63" t="inlineStr">
        <x:is>
          <x:t xml:space="preserve">2026-03-18T15:57:11.018Z</x:t>
        </x:is>
      </x:c>
      <x:c r="Q14" s="48" t="n">
        <x:v>3</x:v>
      </x:c>
      <x:c r="R14" s="48" t="n">
        <x:v>2026</x:v>
      </x:c>
    </x:row>
    <x:row r="15">
      <x:c r="A15" s="54" t="n">
        <x:v>46093</x:v>
      </x:c>
      <x:c r="B15" s="67" t="inlineStr">
        <x:is>
          <x:t xml:space="preserve">4VZYc4Bzq1Fxxo7frz1g</x:t>
        </x:is>
      </x:c>
      <x:c r="C15" s="67" t="inlineStr">
        <x:is>
          <x:t xml:space="preserve">Jim</x:t>
        </x:is>
      </x:c>
      <x:c r="D15" s="67" t="inlineStr">
        <x:is>
          <x:t xml:space="preserve">Cold SMS</x:t>
        </x:is>
      </x:c>
      <x:c r="E15" s="67" t="inlineStr">
        <x:is>
          <x:t xml:space="preserve">Unknown</x:t>
        </x:is>
      </x:c>
      <x:c r="F15" s="67" t="inlineStr">
        <x:is>
          <x:t xml:space="preserve">No-Show</x:t>
        </x:is>
      </x:c>
      <x:c r="G15" s="68" t="n"/>
      <x:c r="H15" s="67" t="n"/>
      <x:c r="I15" s="70" t="n"/>
      <x:c r="J15" s="63" t="n"/>
      <x:c r="K15" s="63" t="n"/>
      <x:c r="O15" s="48" t="inlineStr">
        <x:is>
          <x:t xml:space="preserve">Evan (Auto)</x:t>
        </x:is>
      </x:c>
      <x:c r="P15" s="63" t="inlineStr">
        <x:is>
          <x:t xml:space="preserve">2026-03-18T15:57:11.018Z</x:t>
        </x:is>
      </x:c>
      <x:c r="Q15" s="48" t="n">
        <x:v>3</x:v>
      </x:c>
      <x:c r="R15" s="48" t="n">
        <x:v>2026</x:v>
      </x:c>
      <x:c r="V15" s="67" t="n"/>
      <x:c r="W15" s="67" t="n"/>
      <x:c r="X15" s="67" t="n"/>
      <x:c r="Y15" s="67" t="n"/>
      <x:c r="Z15" s="67" t="n"/>
      <x:c r="AA15" s="67" t="n"/>
      <x:c r="AB15" s="67" t="n"/>
      <x:c r="AC15" s="67" t="n"/>
      <x:c r="AD15" s="67" t="n"/>
      <x:c r="AE15" s="67" t="n"/>
      <x:c r="AF15" s="67" t="n"/>
      <x:c r="AG15" s="67" t="n"/>
      <x:c r="AH15" s="67" t="n"/>
      <x:c r="AI15" s="67" t="n"/>
      <x:c r="AJ15" s="67" t="n"/>
      <x:c r="AK15" s="67" t="n"/>
      <x:c r="AL15" s="67" t="n"/>
      <x:c r="AM15" s="67" t="n"/>
      <x:c r="AN15" s="67" t="n"/>
      <x:c r="AO15" s="67" t="n"/>
      <x:c r="AP15" s="67" t="n"/>
      <x:c r="AQ15" s="67" t="n"/>
      <x:c r="AR15" s="67" t="n"/>
    </x:row>
    <x:row r="16" s="116" customFormat="1" ht="15.75" customHeight="1">
      <x:c r="A16" s="54" t="n">
        <x:v>46093</x:v>
      </x:c>
      <x:c r="B16" s="67" t="inlineStr">
        <x:is>
          <x:t xml:space="preserve">pr1kPEJygt24BeVb3QLb</x:t>
        </x:is>
      </x:c>
      <x:c r="C16" s="67" t="inlineStr">
        <x:is>
          <x:t xml:space="preserve">Keith</x:t>
        </x:is>
      </x:c>
      <x:c r="D16" s="67" t="inlineStr">
        <x:is>
          <x:t xml:space="preserve">Cold SMS</x:t>
        </x:is>
      </x:c>
      <x:c r="E16" s="67" t="inlineStr">
        <x:is>
          <x:t xml:space="preserve">Unknown</x:t>
        </x:is>
      </x:c>
      <x:c r="F16" s="67" t="inlineStr">
        <x:is>
          <x:t xml:space="preserve">Showed</x:t>
        </x:is>
      </x:c>
      <x:c r="G16" s="68" t="inlineStr">
        <x:is>
          <x:t xml:space="preserve">No Closed</x:t>
        </x:is>
      </x:c>
      <x:c r="H16" s="67" t="n"/>
      <x:c r="I16" s="63" t="n"/>
      <x:c r="J16" s="63" t="n"/>
      <x:c r="K16" s="63" t="n"/>
      <x:c r="N16" t="inlineStr">
        <x:is>
          <x:t xml:space="preserve">https://fathom.video/share/SS_hdEmKEVSTvDJGw2DgL-ajecTrzP4h</x:t>
        </x:is>
      </x:c>
      <x:c r="O16" s="48" t="inlineStr">
        <x:is>
          <x:t xml:space="preserve">Evan (Auto)</x:t>
        </x:is>
      </x:c>
      <x:c r="P16" s="63" t="inlineStr">
        <x:is>
          <x:t xml:space="preserve">2026-03-18T15:57:11.018Z</x:t>
        </x:is>
      </x:c>
      <x:c r="Q16" s="48" t="n">
        <x:v>3</x:v>
      </x:c>
      <x:c r="R16" s="48" t="n">
        <x:v>2026</x:v>
      </x:c>
      <x:c r="V16" s="67" t="n"/>
      <x:c r="W16" s="67" t="n"/>
      <x:c r="X16" s="67" t="n"/>
      <x:c r="Y16" s="67" t="n"/>
      <x:c r="Z16" s="67" t="n"/>
      <x:c r="AA16" s="67" t="n"/>
      <x:c r="AB16" s="67" t="n"/>
      <x:c r="AC16" s="67" t="n"/>
      <x:c r="AD16" s="67" t="n"/>
      <x:c r="AE16" s="67" t="n"/>
      <x:c r="AF16" s="67" t="n"/>
      <x:c r="AG16" s="67" t="n"/>
      <x:c r="AH16" s="67" t="n"/>
      <x:c r="AI16" s="67" t="n"/>
      <x:c r="AJ16" s="67" t="n"/>
      <x:c r="AK16" s="67" t="n"/>
      <x:c r="AL16" s="67" t="n"/>
      <x:c r="AM16" s="67" t="n"/>
      <x:c r="AN16" s="67" t="n"/>
      <x:c r="AO16" s="67" t="n"/>
      <x:c r="AP16" s="67" t="n"/>
      <x:c r="AQ16" s="67" t="n"/>
      <x:c r="AR16" s="67" t="n"/>
    </x:row>
    <x:row r="17" s="116" customFormat="1" ht="15.75" customHeight="1">
      <x:c r="A17" s="54" t="n">
        <x:v>46092</x:v>
      </x:c>
      <x:c r="B17" s="67" t="inlineStr">
        <x:is>
          <x:t xml:space="preserve">KOHyLKke48AMvMyo0Hb2</x:t>
        </x:is>
      </x:c>
      <x:c r="C17" s="67" t="inlineStr">
        <x:is>
          <x:t xml:space="preserve">Anthony Carroway</x:t>
        </x:is>
      </x:c>
      <x:c r="D17" s="67" t="inlineStr">
        <x:is>
          <x:t xml:space="preserve">Ads</x:t>
        </x:is>
      </x:c>
      <x:c r="E17" s="67" t="inlineStr">
        <x:is>
          <x:t xml:space="preserve">Ads - No Setter</x:t>
        </x:is>
      </x:c>
      <x:c r="F17" s="67" t="inlineStr">
        <x:is>
          <x:t xml:space="preserve">No-Show</x:t>
        </x:is>
      </x:c>
      <x:c r="G17" s="68" t="n"/>
      <x:c r="H17" s="67" t="n"/>
      <x:c r="I17" s="63" t="n"/>
      <x:c r="J17" s="63" t="n"/>
      <x:c r="K17" s="63" t="n"/>
      <x:c r="O17" s="48" t="inlineStr">
        <x:is>
          <x:t xml:space="preserve">Evan (Auto)</x:t>
        </x:is>
      </x:c>
      <x:c r="P17" s="63" t="inlineStr">
        <x:is>
          <x:t xml:space="preserve">2026-03-19T00:09:32.232Z</x:t>
        </x:is>
      </x:c>
      <x:c r="Q17" s="48" t="n">
        <x:v>3</x:v>
      </x:c>
      <x:c r="R17" s="48" t="n">
        <x:v>2026</x:v>
      </x:c>
      <x:c r="V17" s="67" t="n"/>
      <x:c r="W17" s="67" t="n"/>
      <x:c r="X17" s="67" t="n"/>
      <x:c r="Y17" s="67" t="n"/>
      <x:c r="Z17" s="67" t="n"/>
      <x:c r="AA17" s="67" t="n"/>
      <x:c r="AB17" s="67" t="n"/>
      <x:c r="AC17" s="67" t="n"/>
      <x:c r="AD17" s="67" t="n"/>
      <x:c r="AE17" s="67" t="n"/>
      <x:c r="AF17" s="67" t="n"/>
      <x:c r="AG17" s="67" t="n"/>
      <x:c r="AH17" s="67" t="n"/>
      <x:c r="AI17" s="67" t="n"/>
      <x:c r="AJ17" s="67" t="n"/>
      <x:c r="AK17" s="67" t="n"/>
      <x:c r="AL17" s="67" t="n"/>
      <x:c r="AM17" s="67" t="n"/>
      <x:c r="AN17" s="67" t="n"/>
      <x:c r="AO17" s="67" t="n"/>
      <x:c r="AP17" s="67" t="n"/>
      <x:c r="AQ17" s="67" t="n"/>
      <x:c r="AR17" s="67" t="n"/>
    </x:row>
    <x:row r="18" s="116" customFormat="1" ht="15.75" customHeight="1">
      <x:c r="A18" s="54" t="n">
        <x:v>46092</x:v>
      </x:c>
      <x:c r="B18" s="48" t="inlineStr">
        <x:is>
          <x:t xml:space="preserve">6G5JG7NkHEBAQ5loxbro</x:t>
        </x:is>
      </x:c>
      <x:c r="C18" s="48" t="inlineStr">
        <x:is>
          <x:t xml:space="preserve">Dan Martin</x:t>
        </x:is>
      </x:c>
      <x:c r="D18" s="48" t="inlineStr">
        <x:is>
          <x:t xml:space="preserve">Cold SMS</x:t>
        </x:is>
      </x:c>
      <x:c r="E18" s="48" t="inlineStr">
        <x:is>
          <x:t xml:space="preserve">Ads - No Setter</x:t>
        </x:is>
      </x:c>
      <x:c r="F18" s="48" t="inlineStr">
        <x:is>
          <x:t xml:space="preserve">No-Show</x:t>
        </x:is>
      </x:c>
      <x:c r="G18" s="82" t="n"/>
      <x:c r="H18" s="48" t="n"/>
      <x:c r="I18" s="63" t="n"/>
      <x:c r="J18" s="63" t="n"/>
      <x:c r="K18" s="63" t="n"/>
      <x:c r="N18" s="63" t="n"/>
      <x:c r="O18" s="48" t="inlineStr">
        <x:is>
          <x:t xml:space="preserve">Evan (Auto)</x:t>
        </x:is>
      </x:c>
      <x:c r="P18" s="63" t="inlineStr">
        <x:is>
          <x:t xml:space="preserve">2026-03-19T00:09:32.233Z</x:t>
        </x:is>
      </x:c>
      <x:c r="Q18" s="48" t="n">
        <x:v>3</x:v>
      </x:c>
      <x:c r="R18" s="48" t="n">
        <x:v>2026</x:v>
      </x:c>
    </x:row>
    <x:row r="19" s="116" customFormat="1" ht="15.75" customHeight="1">
      <x:c r="A19" s="54" t="n">
        <x:v>46092</x:v>
      </x:c>
      <x:c r="B19" s="48" t="inlineStr">
        <x:is>
          <x:t xml:space="preserve">PFVcd0gSiF6hqFN507NI</x:t>
        </x:is>
      </x:c>
      <x:c r="C19" s="48" t="inlineStr">
        <x:is>
          <x:t xml:space="preserve">Danny Ben Or</x:t>
        </x:is>
      </x:c>
      <x:c r="D19" s="48" t="inlineStr">
        <x:is>
          <x:t xml:space="preserve">Ads</x:t>
        </x:is>
      </x:c>
      <x:c r="E19" s="48" t="inlineStr">
        <x:is>
          <x:t xml:space="preserve">Ads - No Setter</x:t>
        </x:is>
      </x:c>
      <x:c r="F19" s="48" t="inlineStr">
        <x:is>
          <x:t xml:space="preserve">No-Show</x:t>
        </x:is>
      </x:c>
      <x:c r="G19" s="82" t="n"/>
      <x:c r="H19" s="48" t="n"/>
      <x:c r="I19" s="63" t="n"/>
      <x:c r="J19" s="63" t="n"/>
      <x:c r="K19" s="63" t="n"/>
      <x:c r="L19" s="48" t="n"/>
      <x:c r="N19" s="48" t="n"/>
      <x:c r="O19" s="48" t="inlineStr">
        <x:is>
          <x:t xml:space="preserve">Evan (Auto)</x:t>
        </x:is>
      </x:c>
      <x:c r="P19" s="63" t="inlineStr">
        <x:is>
          <x:t xml:space="preserve">2026-03-19T00:09:32.233Z</x:t>
        </x:is>
      </x:c>
      <x:c r="Q19" s="48" t="n">
        <x:v>3</x:v>
      </x:c>
      <x:c r="R19" s="48" t="n">
        <x:v>2026</x:v>
      </x:c>
    </x:row>
    <x:row r="20" s="116" customFormat="1" ht="15.75" customHeight="1">
      <x:c r="A20" s="54" t="n">
        <x:v>46092</x:v>
      </x:c>
      <x:c r="B20" s="67" t="inlineStr">
        <x:is>
          <x:t xml:space="preserve">iUVNTLT7I1FCyjJvSbEc</x:t>
        </x:is>
      </x:c>
      <x:c r="C20" s="67" t="inlineStr">
        <x:is>
          <x:t xml:space="preserve">Dennis  Jussila</x:t>
        </x:is>
      </x:c>
      <x:c r="D20" s="67" t="inlineStr">
        <x:is>
          <x:t xml:space="preserve">Ads</x:t>
        </x:is>
      </x:c>
      <x:c r="E20" s="67" t="inlineStr">
        <x:is>
          <x:t xml:space="preserve">Ads - No Setter</x:t>
        </x:is>
      </x:c>
      <x:c r="F20" s="67" t="inlineStr">
        <x:is>
          <x:t xml:space="preserve">Showed</x:t>
        </x:is>
      </x:c>
      <x:c r="G20" s="68" t="inlineStr">
        <x:is>
          <x:t xml:space="preserve">No Closed</x:t>
        </x:is>
      </x:c>
      <x:c r="H20" s="67" t="n"/>
      <x:c r="I20" s="63" t="n"/>
      <x:c r="J20" s="63" t="n"/>
      <x:c r="K20" s="63" t="n"/>
      <x:c r="N20" t="inlineStr">
        <x:is>
          <x:t xml:space="preserve">https://fathom.video/share/FDAK8szEy-vJ_SCLZRnffUWBPnbsmx_M</x:t>
        </x:is>
      </x:c>
      <x:c r="O20" s="48" t="inlineStr">
        <x:is>
          <x:t xml:space="preserve">Evan (Auto)</x:t>
        </x:is>
      </x:c>
      <x:c r="P20" s="63" t="inlineStr">
        <x:is>
          <x:t xml:space="preserve">2026-03-19T00:09:32.233Z</x:t>
        </x:is>
      </x:c>
      <x:c r="Q20" s="48" t="n">
        <x:v>3</x:v>
      </x:c>
      <x:c r="R20" s="48" t="n">
        <x:v>2026</x:v>
      </x:c>
      <x:c r="V20" s="67" t="n"/>
      <x:c r="W20" s="67" t="n"/>
      <x:c r="X20" s="67" t="n"/>
      <x:c r="Y20" s="67" t="n"/>
      <x:c r="Z20" s="67" t="n"/>
      <x:c r="AA20" s="67" t="n"/>
      <x:c r="AB20" s="67" t="n"/>
      <x:c r="AC20" s="67" t="n"/>
      <x:c r="AD20" s="67" t="n"/>
      <x:c r="AE20" s="67" t="n"/>
      <x:c r="AF20" s="67" t="n"/>
      <x:c r="AG20" s="67" t="n"/>
      <x:c r="AH20" s="67" t="n"/>
      <x:c r="AI20" s="67" t="n"/>
      <x:c r="AJ20" s="67" t="n"/>
      <x:c r="AK20" s="67" t="n"/>
      <x:c r="AL20" s="67" t="n"/>
      <x:c r="AM20" s="67" t="n"/>
      <x:c r="AN20" s="67" t="n"/>
      <x:c r="AO20" s="67" t="n"/>
      <x:c r="AP20" s="67" t="n"/>
      <x:c r="AQ20" s="67" t="n"/>
      <x:c r="AR20" s="67" t="n"/>
    </x:row>
    <x:row r="21" s="116" customFormat="1" ht="15.75" customHeight="1">
      <x:c r="A21" s="54" t="n">
        <x:v>46092</x:v>
      </x:c>
      <x:c r="B21" s="67" t="inlineStr">
        <x:is>
          <x:t xml:space="preserve">3YZx1ODw70uICw8v32Le</x:t>
        </x:is>
      </x:c>
      <x:c r="C21" s="67" t="inlineStr">
        <x:is>
          <x:t xml:space="preserve">Oscar</x:t>
        </x:is>
      </x:c>
      <x:c r="D21" s="67" t="inlineStr">
        <x:is>
          <x:t xml:space="preserve">Cold SMS</x:t>
        </x:is>
      </x:c>
      <x:c r="E21" s="67" t="inlineStr">
        <x:is>
          <x:t xml:space="preserve">Ads - No Setter</x:t>
        </x:is>
      </x:c>
      <x:c r="F21" s="67" t="inlineStr">
        <x:is>
          <x:t xml:space="preserve">No-Show</x:t>
        </x:is>
      </x:c>
      <x:c r="G21" s="68" t="n"/>
      <x:c r="H21" s="67" t="n"/>
      <x:c r="I21" s="63" t="n"/>
      <x:c r="J21" s="63" t="n"/>
      <x:c r="K21" s="63" t="n"/>
      <x:c r="O21" s="48" t="inlineStr">
        <x:is>
          <x:t xml:space="preserve">Evan (Auto)</x:t>
        </x:is>
      </x:c>
      <x:c r="P21" s="63" t="inlineStr">
        <x:is>
          <x:t xml:space="preserve">2026-03-19T00:09:32.233Z</x:t>
        </x:is>
      </x:c>
      <x:c r="Q21" s="48" t="n">
        <x:v>3</x:v>
      </x:c>
      <x:c r="R21" s="48" t="n">
        <x:v>2026</x:v>
      </x:c>
      <x:c r="V21" s="67" t="n"/>
      <x:c r="W21" s="67" t="n"/>
      <x:c r="X21" s="67" t="n"/>
      <x:c r="Y21" s="67" t="n"/>
      <x:c r="Z21" s="67" t="n"/>
      <x:c r="AA21" s="67" t="n"/>
      <x:c r="AB21" s="67" t="n"/>
      <x:c r="AC21" s="67" t="n"/>
      <x:c r="AD21" s="67" t="n"/>
      <x:c r="AE21" s="67" t="n"/>
      <x:c r="AF21" s="67" t="n"/>
      <x:c r="AG21" s="67" t="n"/>
      <x:c r="AH21" s="67" t="n"/>
      <x:c r="AI21" s="67" t="n"/>
      <x:c r="AJ21" s="67" t="n"/>
      <x:c r="AK21" s="67" t="n"/>
      <x:c r="AL21" s="67" t="n"/>
      <x:c r="AM21" s="67" t="n"/>
      <x:c r="AN21" s="67" t="n"/>
      <x:c r="AO21" s="67" t="n"/>
      <x:c r="AP21" s="67" t="n"/>
      <x:c r="AQ21" s="67" t="n"/>
      <x:c r="AR21" s="67" t="n"/>
    </x:row>
    <x:row r="22" s="116" customFormat="1" ht="15.75" customHeight="1">
      <x:c r="A22" s="54" t="n">
        <x:v>46092</x:v>
      </x:c>
      <x:c r="B22" s="67" t="inlineStr">
        <x:is>
          <x:t xml:space="preserve">ytbeEUO8ngAblMeZY70q</x:t>
        </x:is>
      </x:c>
      <x:c r="C22" s="67" t="inlineStr">
        <x:is>
          <x:t xml:space="preserve">Rick</x:t>
        </x:is>
      </x:c>
      <x:c r="D22" s="67" t="inlineStr">
        <x:is>
          <x:t xml:space="preserve">Cold SMS</x:t>
        </x:is>
      </x:c>
      <x:c r="E22" s="67" t="inlineStr">
        <x:is>
          <x:t xml:space="preserve">Ads - No Setter</x:t>
        </x:is>
      </x:c>
      <x:c r="F22" s="67" t="inlineStr">
        <x:is>
          <x:t xml:space="preserve">Showed</x:t>
        </x:is>
      </x:c>
      <x:c r="G22" s="68" t="inlineStr">
        <x:is>
          <x:t xml:space="preserve">Closed</x:t>
        </x:is>
      </x:c>
      <x:c r="H22" s="67" t="n"/>
      <x:c r="I22" s="63" t="n"/>
      <x:c r="J22" s="63" t="n"/>
      <x:c r="K22" s="63" t="n"/>
      <x:c r="L22" s="48" t="n"/>
      <x:c r="M22" t="n"/>
      <x:c r="N22" s="48" t="inlineStr">
        <x:is>
          <x:t xml:space="preserve">https://fathom.video/share/xsd3t3aNUbcAU9z1FCJjFzpZpPoD_wtx</x:t>
        </x:is>
      </x:c>
      <x:c r="O22" s="48" t="inlineStr">
        <x:is>
          <x:t xml:space="preserve">Evan (Auto)</x:t>
        </x:is>
      </x:c>
      <x:c r="P22" s="63" t="inlineStr">
        <x:is>
          <x:t xml:space="preserve">2026-03-19T00:09:32.233Z</x:t>
        </x:is>
      </x:c>
      <x:c r="Q22" s="48" t="n">
        <x:v>3</x:v>
      </x:c>
      <x:c r="R22" s="48" t="n">
        <x:v>2026</x:v>
      </x:c>
      <x:c r="V22" s="67" t="n"/>
      <x:c r="W22" s="67" t="n"/>
      <x:c r="X22" s="67" t="n"/>
      <x:c r="Y22" s="67" t="n"/>
      <x:c r="Z22" s="67" t="n"/>
      <x:c r="AA22" s="67" t="n"/>
      <x:c r="AB22" s="67" t="n"/>
      <x:c r="AC22" s="67" t="n"/>
      <x:c r="AD22" s="67" t="n"/>
      <x:c r="AE22" s="67" t="n"/>
      <x:c r="AF22" s="67" t="n"/>
      <x:c r="AG22" s="67" t="n"/>
      <x:c r="AH22" s="67" t="n"/>
      <x:c r="AI22" s="67" t="n"/>
      <x:c r="AJ22" s="67" t="n"/>
      <x:c r="AK22" s="67" t="n"/>
      <x:c r="AL22" s="67" t="n"/>
      <x:c r="AM22" s="67" t="n"/>
      <x:c r="AN22" s="67" t="n"/>
      <x:c r="AO22" s="67" t="n"/>
      <x:c r="AP22" s="67" t="n"/>
      <x:c r="AQ22" s="67" t="n"/>
      <x:c r="AR22" s="67" t="n"/>
    </x:row>
    <x:row r="23" s="116" customFormat="1" ht="15.75" customHeight="1">
      <x:c r="A23" s="54" t="n">
        <x:v>46092</x:v>
      </x:c>
      <x:c r="B23" s="67" t="inlineStr">
        <x:is>
          <x:t xml:space="preserve">6k1hNfqnd9MKGzgMRblX</x:t>
        </x:is>
      </x:c>
      <x:c r="C23" s="67" t="inlineStr">
        <x:is>
          <x:t xml:space="preserve">Scott</x:t>
        </x:is>
      </x:c>
      <x:c r="D23" s="67" t="inlineStr">
        <x:is>
          <x:t xml:space="preserve">Cold SMS</x:t>
        </x:is>
      </x:c>
      <x:c r="E23" s="67" t="inlineStr">
        <x:is>
          <x:t xml:space="preserve">Ads - No Setter</x:t>
        </x:is>
      </x:c>
      <x:c r="F23" s="67" t="inlineStr">
        <x:is>
          <x:t xml:space="preserve">No-Show</x:t>
        </x:is>
      </x:c>
      <x:c r="G23" s="68" t="n"/>
      <x:c r="H23" s="67" t="n"/>
      <x:c r="I23" s="63" t="n"/>
      <x:c r="J23" s="63" t="n"/>
      <x:c r="K23" s="63" t="n"/>
      <x:c r="L23" s="48" t="n"/>
      <x:c r="M23" t="n"/>
      <x:c r="N23" s="48" t="n"/>
      <x:c r="O23" s="48" t="inlineStr">
        <x:is>
          <x:t xml:space="preserve">Evan (Auto)</x:t>
        </x:is>
      </x:c>
      <x:c r="P23" s="63" t="inlineStr">
        <x:is>
          <x:t xml:space="preserve">2026-03-19T00:09:32.233Z</x:t>
        </x:is>
      </x:c>
      <x:c r="Q23" s="48" t="n">
        <x:v>3</x:v>
      </x:c>
      <x:c r="R23" s="48" t="n">
        <x:v>2026</x:v>
      </x:c>
      <x:c r="V23" s="67" t="n"/>
      <x:c r="W23" s="67" t="n"/>
      <x:c r="X23" s="67" t="n"/>
      <x:c r="Y23" s="67" t="n"/>
      <x:c r="Z23" s="67" t="n"/>
      <x:c r="AA23" s="67" t="n"/>
      <x:c r="AB23" s="67" t="n"/>
      <x:c r="AC23" s="67" t="n"/>
      <x:c r="AD23" s="67" t="n"/>
      <x:c r="AE23" s="67" t="n"/>
      <x:c r="AF23" s="67" t="n"/>
      <x:c r="AG23" s="67" t="n"/>
      <x:c r="AH23" s="67" t="n"/>
      <x:c r="AI23" s="67" t="n"/>
      <x:c r="AJ23" s="67" t="n"/>
      <x:c r="AK23" s="67" t="n"/>
      <x:c r="AL23" s="67" t="n"/>
      <x:c r="AM23" s="67" t="n"/>
      <x:c r="AN23" s="67" t="n"/>
      <x:c r="AO23" s="67" t="n"/>
      <x:c r="AP23" s="67" t="n"/>
      <x:c r="AQ23" s="67" t="n"/>
      <x:c r="AR23" s="67" t="n"/>
    </x:row>
    <x:row r="24" s="116" customFormat="1" ht="15.75" customHeight="1">
      <x:c r="A24" s="54" t="n">
        <x:v>46091</x:v>
      </x:c>
      <x:c r="B24" s="67" t="n"/>
      <x:c r="C24" s="67" t="inlineStr">
        <x:is>
          <x:t xml:space="preserve">dennis kohlmeier</x:t>
        </x:is>
      </x:c>
      <x:c r="D24" s="67" t="inlineStr">
        <x:is>
          <x:t xml:space="preserve">Unknown</x:t>
        </x:is>
      </x:c>
      <x:c r="E24" s="67" t="n"/>
      <x:c r="F24" s="67" t="n"/>
      <x:c r="G24" s="68" t="n"/>
      <x:c r="H24" s="67" t="n"/>
      <x:c r="I24" s="63" t="n"/>
      <x:c r="J24" s="63" t="n"/>
      <x:c r="K24" s="63" t="n"/>
      <x:c r="L24" s="48" t="n"/>
      <x:c r="M24" t="inlineStr">
        <x:is>
          <x:t xml:space="preserve">Added from Fathom Calls (sales call audit)</x:t>
        </x:is>
      </x:c>
      <x:c r="N24" s="48" t="inlineStr">
        <x:is>
          <x:t xml:space="preserve">https://fathom.video/share/MCwdQ3f7KgzxDdyvupjeVpWTMCJtzLqS</x:t>
        </x:is>
      </x:c>
      <x:c r="O24" s="48" t="inlineStr">
        <x:is>
          <x:t xml:space="preserve">ChatGPT</x:t>
        </x:is>
      </x:c>
      <x:c r="P24" s="63" t="inlineStr">
        <x:is>
          <x:t xml:space="preserve">2026-03-19T03:25:00Z</x:t>
        </x:is>
      </x:c>
      <x:c r="Q24" s="48" t="n">
        <x:v>3</x:v>
      </x:c>
      <x:c r="R24" s="48" t="n">
        <x:v>2026</x:v>
      </x:c>
      <x:c r="V24" s="67" t="n"/>
      <x:c r="W24" s="67" t="n"/>
      <x:c r="X24" s="67" t="n"/>
      <x:c r="Y24" s="67" t="n"/>
      <x:c r="Z24" s="67" t="n"/>
      <x:c r="AA24" s="67" t="n"/>
      <x:c r="AB24" s="67" t="n"/>
      <x:c r="AC24" s="67" t="n"/>
      <x:c r="AD24" s="67" t="n"/>
      <x:c r="AE24" s="67" t="n"/>
      <x:c r="AF24" s="67" t="n"/>
      <x:c r="AG24" s="67" t="n"/>
      <x:c r="AH24" s="67" t="n"/>
      <x:c r="AI24" s="67" t="n"/>
      <x:c r="AJ24" s="67" t="n"/>
      <x:c r="AK24" s="67" t="n"/>
      <x:c r="AL24" s="67" t="n"/>
      <x:c r="AM24" s="67" t="n"/>
      <x:c r="AN24" s="67" t="n"/>
      <x:c r="AO24" s="67" t="n"/>
      <x:c r="AP24" s="67" t="n"/>
      <x:c r="AQ24" s="67" t="n"/>
      <x:c r="AR24" s="67" t="n"/>
    </x:row>
    <x:row r="25" s="116" customFormat="1" ht="15.75" customHeight="1">
      <x:c r="A25" s="54" t="n">
        <x:v>46090</x:v>
      </x:c>
      <x:c r="B25" s="67" t="n"/>
      <x:c r="C25" s="67" t="inlineStr">
        <x:is>
          <x:t xml:space="preserve">Joe</x:t>
        </x:is>
      </x:c>
      <x:c r="D25" s="67" t="inlineStr">
        <x:is>
          <x:t xml:space="preserve">Unknown</x:t>
        </x:is>
      </x:c>
      <x:c r="E25" s="67" t="n"/>
      <x:c r="F25" s="67" t="n"/>
      <x:c r="G25" s="68" t="n"/>
      <x:c r="H25" s="67" t="n"/>
      <x:c r="I25" s="63" t="n"/>
      <x:c r="J25" s="63" t="n"/>
      <x:c r="K25" s="63" t="n"/>
      <x:c r="L25" s="48" t="n"/>
      <x:c r="M25" t="inlineStr">
        <x:is>
          <x:t xml:space="preserve">Added from Fathom Calls — Uncertain Only (sales yes audit)</x:t>
        </x:is>
      </x:c>
      <x:c r="N25" s="48" t="inlineStr">
        <x:is>
          <x:t xml:space="preserve">https://fathom.video/share/k6mzJ2BDqUbnf6b8p-kUF3BnFzRye3mS</x:t>
        </x:is>
      </x:c>
      <x:c r="O25" s="48" t="inlineStr">
        <x:is>
          <x:t xml:space="preserve">ChatGPT</x:t>
        </x:is>
      </x:c>
      <x:c r="P25" s="63" t="inlineStr">
        <x:is>
          <x:t xml:space="preserve">2026-03-19T02:00:57Z</x:t>
        </x:is>
      </x:c>
      <x:c r="Q25" s="48" t="n">
        <x:v>3</x:v>
      </x:c>
      <x:c r="R25" s="48" t="n">
        <x:v>2026</x:v>
      </x:c>
      <x:c r="V25" s="67" t="n"/>
      <x:c r="W25" s="67" t="n"/>
      <x:c r="X25" s="67" t="n"/>
      <x:c r="Y25" s="67" t="n"/>
      <x:c r="Z25" s="67" t="n"/>
      <x:c r="AA25" s="67" t="n"/>
      <x:c r="AB25" s="67" t="n"/>
      <x:c r="AC25" s="67" t="n"/>
      <x:c r="AD25" s="67" t="n"/>
      <x:c r="AE25" s="67" t="n"/>
      <x:c r="AF25" s="67" t="n"/>
      <x:c r="AG25" s="67" t="n"/>
      <x:c r="AH25" s="67" t="n"/>
      <x:c r="AI25" s="67" t="n"/>
      <x:c r="AJ25" s="67" t="n"/>
      <x:c r="AK25" s="67" t="n"/>
      <x:c r="AL25" s="67" t="n"/>
      <x:c r="AM25" s="67" t="n"/>
      <x:c r="AN25" s="67" t="n"/>
      <x:c r="AO25" s="67" t="n"/>
      <x:c r="AP25" s="67" t="n"/>
      <x:c r="AQ25" s="67" t="n"/>
      <x:c r="AR25" s="67" t="n"/>
    </x:row>
    <x:row r="26" s="116" customFormat="1" ht="15.75" customHeight="1">
      <x:c r="A26" s="54" t="n">
        <x:v>46090</x:v>
      </x:c>
      <x:c r="B26" s="67" t="n"/>
      <x:c r="C26" s="67" t="inlineStr">
        <x:is>
          <x:t xml:space="preserve">ken</x:t>
        </x:is>
      </x:c>
      <x:c r="D26" s="67" t="inlineStr">
        <x:is>
          <x:t xml:space="preserve">Unknown</x:t>
        </x:is>
      </x:c>
      <x:c r="E26" s="67" t="n"/>
      <x:c r="F26" s="67" t="n"/>
      <x:c r="G26" s="68" t="n"/>
      <x:c r="H26" s="67" t="n"/>
      <x:c r="I26" s="63" t="n"/>
      <x:c r="J26" s="63" t="n"/>
      <x:c r="K26" s="63" t="n"/>
      <x:c r="L26" s="48" t="n"/>
      <x:c r="M26" t="inlineStr">
        <x:is>
          <x:t xml:space="preserve">Added from Fathom Calls (sales call audit)</x:t>
        </x:is>
      </x:c>
      <x:c r="N26" s="48" t="inlineStr">
        <x:is>
          <x:t xml:space="preserve">https://fathom.video/share/tvcHyww-Ve_FV-yWJ_DS4vf-ywUKADqe</x:t>
        </x:is>
      </x:c>
      <x:c r="O26" s="48" t="inlineStr">
        <x:is>
          <x:t xml:space="preserve">ChatGPT</x:t>
        </x:is>
      </x:c>
      <x:c r="P26" s="63" t="inlineStr">
        <x:is>
          <x:t xml:space="preserve">2026-03-19T03:25:00Z</x:t>
        </x:is>
      </x:c>
      <x:c r="Q26" s="48" t="n">
        <x:v>3</x:v>
      </x:c>
      <x:c r="R26" s="48" t="n">
        <x:v>2026</x:v>
      </x:c>
      <x:c r="V26" s="67" t="n"/>
      <x:c r="W26" s="67" t="n"/>
      <x:c r="X26" s="67" t="n"/>
      <x:c r="Y26" s="67" t="n"/>
      <x:c r="Z26" s="67" t="n"/>
      <x:c r="AA26" s="67" t="n"/>
      <x:c r="AB26" s="67" t="n"/>
      <x:c r="AC26" s="67" t="n"/>
      <x:c r="AD26" s="67" t="n"/>
      <x:c r="AE26" s="67" t="n"/>
      <x:c r="AF26" s="67" t="n"/>
      <x:c r="AG26" s="67" t="n"/>
      <x:c r="AH26" s="67" t="n"/>
      <x:c r="AI26" s="67" t="n"/>
      <x:c r="AJ26" s="67" t="n"/>
      <x:c r="AK26" s="67" t="n"/>
      <x:c r="AL26" s="67" t="n"/>
      <x:c r="AM26" s="67" t="n"/>
      <x:c r="AN26" s="67" t="n"/>
      <x:c r="AO26" s="67" t="n"/>
      <x:c r="AP26" s="67" t="n"/>
      <x:c r="AQ26" s="67" t="n"/>
      <x:c r="AR26" s="67" t="n"/>
    </x:row>
    <x:row r="27" s="116" customFormat="1" ht="15.75" customHeight="1">
      <x:c r="A27" s="54" t="n">
        <x:v>46090</x:v>
      </x:c>
      <x:c r="B27" s="67" t="n"/>
      <x:c r="C27" s="67" t="inlineStr">
        <x:is>
          <x:t xml:space="preserve">marcus</x:t>
        </x:is>
      </x:c>
      <x:c r="D27" s="67" t="inlineStr">
        <x:is>
          <x:t xml:space="preserve">Unknown</x:t>
        </x:is>
      </x:c>
      <x:c r="E27" s="67" t="n"/>
      <x:c r="F27" s="67" t="n"/>
      <x:c r="G27" s="68" t="n"/>
      <x:c r="H27" s="67" t="n"/>
      <x:c r="I27" s="63" t="n"/>
      <x:c r="J27" s="63" t="n"/>
      <x:c r="K27" s="63" t="n"/>
      <x:c r="L27" s="48" t="n"/>
      <x:c r="M27" t="inlineStr">
        <x:is>
          <x:t xml:space="preserve">Added from Fathom Calls (sales call audit)</x:t>
        </x:is>
      </x:c>
      <x:c r="N27" s="48" t="inlineStr">
        <x:is>
          <x:t xml:space="preserve">https://fathom.video/share/-9dxTtDrY9SxTb7zYbpgKdysLoDJk6_B</x:t>
        </x:is>
      </x:c>
      <x:c r="O27" s="48" t="inlineStr">
        <x:is>
          <x:t xml:space="preserve">ChatGPT</x:t>
        </x:is>
      </x:c>
      <x:c r="P27" s="63" t="inlineStr">
        <x:is>
          <x:t xml:space="preserve">2026-03-19T03:25:00Z</x:t>
        </x:is>
      </x:c>
      <x:c r="Q27" s="48" t="n">
        <x:v>3</x:v>
      </x:c>
      <x:c r="R27" s="48" t="n">
        <x:v>2026</x:v>
      </x:c>
      <x:c r="V27" s="67" t="n"/>
      <x:c r="W27" s="67" t="n"/>
      <x:c r="X27" s="67" t="n"/>
      <x:c r="Y27" s="67" t="n"/>
      <x:c r="Z27" s="67" t="n"/>
      <x:c r="AA27" s="67" t="n"/>
      <x:c r="AB27" s="67" t="n"/>
      <x:c r="AC27" s="67" t="n"/>
      <x:c r="AD27" s="67" t="n"/>
      <x:c r="AE27" s="67" t="n"/>
      <x:c r="AF27" s="67" t="n"/>
      <x:c r="AG27" s="67" t="n"/>
      <x:c r="AH27" s="67" t="n"/>
      <x:c r="AI27" s="67" t="n"/>
      <x:c r="AJ27" s="67" t="n"/>
      <x:c r="AK27" s="67" t="n"/>
      <x:c r="AL27" s="67" t="n"/>
      <x:c r="AM27" s="67" t="n"/>
      <x:c r="AN27" s="67" t="n"/>
      <x:c r="AO27" s="67" t="n"/>
      <x:c r="AP27" s="67" t="n"/>
      <x:c r="AQ27" s="67" t="n"/>
      <x:c r="AR27" s="67" t="n"/>
    </x:row>
    <x:row r="28" s="116" customFormat="1" ht="15.75" customHeight="1">
      <x:c r="A28" s="54" t="n">
        <x:v>46088</x:v>
      </x:c>
      <x:c r="B28" s="67" t="n"/>
      <x:c r="C28" s="67" t="inlineStr">
        <x:is>
          <x:t xml:space="preserve">Impromptu Google Meet Meeting</x:t>
        </x:is>
      </x:c>
      <x:c r="D28" s="67" t="inlineStr">
        <x:is>
          <x:t xml:space="preserve">Unknown</x:t>
        </x:is>
      </x:c>
      <x:c r="E28" s="67" t="n"/>
      <x:c r="F28" s="67" t="n"/>
      <x:c r="G28" s="68" t="n"/>
      <x:c r="H28" s="67" t="n"/>
      <x:c r="I28" s="63" t="n"/>
      <x:c r="J28" s="63" t="n"/>
      <x:c r="K28" s="63" t="n"/>
      <x:c r="L28" s="48" t="n"/>
      <x:c r="M28" t="inlineStr">
        <x:is>
          <x:t xml:space="preserve">Added from Fathom Calls — Uncertain Only (sales yes audit)</x:t>
        </x:is>
      </x:c>
      <x:c r="N28" s="48" t="inlineStr">
        <x:is>
          <x:t xml:space="preserve">https://fathom.video/share/JtuNdfPgT5BgwHog7wz3cLzFhrw4gx6U</x:t>
        </x:is>
      </x:c>
      <x:c r="O28" s="48" t="inlineStr">
        <x:is>
          <x:t xml:space="preserve">ChatGPT</x:t>
        </x:is>
      </x:c>
      <x:c r="P28" s="63" t="inlineStr">
        <x:is>
          <x:t xml:space="preserve">2026-03-19T02:00:57Z</x:t>
        </x:is>
      </x:c>
      <x:c r="Q28" s="48" t="n">
        <x:v>3</x:v>
      </x:c>
      <x:c r="R28" s="48" t="n">
        <x:v>2026</x:v>
      </x:c>
      <x:c r="V28" s="67" t="n"/>
      <x:c r="W28" s="67" t="n"/>
      <x:c r="X28" s="67" t="n"/>
      <x:c r="Y28" s="67" t="n"/>
      <x:c r="Z28" s="67" t="n"/>
      <x:c r="AA28" s="67" t="n"/>
      <x:c r="AB28" s="67" t="n"/>
      <x:c r="AC28" s="67" t="n"/>
      <x:c r="AD28" s="67" t="n"/>
      <x:c r="AE28" s="67" t="n"/>
      <x:c r="AF28" s="67" t="n"/>
      <x:c r="AG28" s="67" t="n"/>
      <x:c r="AH28" s="67" t="n"/>
      <x:c r="AI28" s="67" t="n"/>
      <x:c r="AJ28" s="67" t="n"/>
      <x:c r="AK28" s="67" t="n"/>
      <x:c r="AL28" s="67" t="n"/>
      <x:c r="AM28" s="67" t="n"/>
      <x:c r="AN28" s="67" t="n"/>
      <x:c r="AO28" s="67" t="n"/>
      <x:c r="AP28" s="67" t="n"/>
      <x:c r="AQ28" s="67" t="n"/>
      <x:c r="AR28" s="67" t="n"/>
    </x:row>
    <x:row r="29" s="116" customFormat="1" ht="15.75" customHeight="1">
      <x:c r="A29" s="54" t="n">
        <x:v>46087</x:v>
      </x:c>
      <x:c r="B29" s="67" t="n"/>
      <x:c r="C29" s="67" t="inlineStr">
        <x:is>
          <x:t xml:space="preserve">Impromptu Google Meet Meeting</x:t>
        </x:is>
      </x:c>
      <x:c r="D29" s="67" t="inlineStr">
        <x:is>
          <x:t xml:space="preserve">Unknown</x:t>
        </x:is>
      </x:c>
      <x:c r="E29" s="67" t="n"/>
      <x:c r="F29" s="67" t="n"/>
      <x:c r="G29" s="68" t="n"/>
      <x:c r="H29" s="67" t="n"/>
      <x:c r="I29" s="63" t="n"/>
      <x:c r="J29" s="63" t="n"/>
      <x:c r="K29" s="63" t="n"/>
      <x:c r="M29" t="inlineStr">
        <x:is>
          <x:t xml:space="preserve">Added from Fathom Calls — Uncertain Only (sales yes audit)</x:t>
        </x:is>
      </x:c>
      <x:c r="N29" t="inlineStr">
        <x:is>
          <x:t xml:space="preserve">https://fathom.video/share/2wJYubyqeuEb9AHzsbfBTowzPrGg1yHg</x:t>
        </x:is>
      </x:c>
      <x:c r="O29" s="48" t="inlineStr">
        <x:is>
          <x:t xml:space="preserve">ChatGPT</x:t>
        </x:is>
      </x:c>
      <x:c r="P29" s="63" t="inlineStr">
        <x:is>
          <x:t xml:space="preserve">2026-03-19T02:00:57Z</x:t>
        </x:is>
      </x:c>
      <x:c r="Q29" s="48" t="n">
        <x:v>3</x:v>
      </x:c>
      <x:c r="R29" s="48" t="n">
        <x:v>2026</x:v>
      </x:c>
      <x:c r="V29" s="67" t="n"/>
      <x:c r="W29" s="67" t="n"/>
      <x:c r="X29" s="67" t="n"/>
      <x:c r="Y29" s="67" t="n"/>
      <x:c r="Z29" s="67" t="n"/>
      <x:c r="AA29" s="67" t="n"/>
      <x:c r="AB29" s="67" t="n"/>
      <x:c r="AC29" s="67" t="n"/>
      <x:c r="AD29" s="67" t="n"/>
      <x:c r="AE29" s="67" t="n"/>
      <x:c r="AF29" s="67" t="n"/>
      <x:c r="AG29" s="67" t="n"/>
      <x:c r="AH29" s="67" t="n"/>
      <x:c r="AI29" s="67" t="n"/>
      <x:c r="AJ29" s="67" t="n"/>
      <x:c r="AK29" s="67" t="n"/>
      <x:c r="AL29" s="67" t="n"/>
      <x:c r="AM29" s="67" t="n"/>
      <x:c r="AN29" s="67" t="n"/>
      <x:c r="AO29" s="67" t="n"/>
      <x:c r="AP29" s="67" t="n"/>
      <x:c r="AQ29" s="67" t="n"/>
      <x:c r="AR29" s="67" t="n"/>
    </x:row>
    <x:row r="30" s="116" customFormat="1" ht="15.75" customHeight="1">
      <x:c r="A30" s="54" t="n">
        <x:v>46087</x:v>
      </x:c>
      <x:c r="B30" s="67" t="n"/>
      <x:c r="C30" s="67" t="inlineStr">
        <x:is>
          <x:t xml:space="preserve">jesus</x:t>
        </x:is>
      </x:c>
      <x:c r="D30" s="67" t="inlineStr">
        <x:is>
          <x:t xml:space="preserve">Unknown</x:t>
        </x:is>
      </x:c>
      <x:c r="E30" s="67" t="n"/>
      <x:c r="F30" s="67" t="n"/>
      <x:c r="G30" s="68" t="n"/>
      <x:c r="H30" s="67" t="n"/>
      <x:c r="I30" s="63" t="n"/>
      <x:c r="J30" s="63" t="n"/>
      <x:c r="K30" s="63" t="n"/>
      <x:c r="L30" s="48" t="n"/>
      <x:c r="M30" t="inlineStr">
        <x:is>
          <x:t xml:space="preserve">Added from Fathom Calls (sales call audit)</x:t>
        </x:is>
      </x:c>
      <x:c r="N30" t="inlineStr">
        <x:is>
          <x:t xml:space="preserve">https://fathom.video/share/cjzp2QcrxquezX_2Py6VceEjC2ZofvDF</x:t>
        </x:is>
      </x:c>
      <x:c r="O30" s="48" t="inlineStr">
        <x:is>
          <x:t xml:space="preserve">ChatGPT</x:t>
        </x:is>
      </x:c>
      <x:c r="P30" s="63" t="inlineStr">
        <x:is>
          <x:t xml:space="preserve">2026-03-19T03:25:00Z</x:t>
        </x:is>
      </x:c>
      <x:c r="Q30" s="48" t="n">
        <x:v>3</x:v>
      </x:c>
      <x:c r="R30" s="48" t="n">
        <x:v>2026</x:v>
      </x:c>
      <x:c r="V30" s="67" t="n"/>
      <x:c r="W30" s="67" t="n"/>
      <x:c r="X30" s="67" t="n"/>
      <x:c r="Y30" s="67" t="n"/>
      <x:c r="Z30" s="67" t="n"/>
      <x:c r="AA30" s="67" t="n"/>
      <x:c r="AB30" s="67" t="n"/>
      <x:c r="AC30" s="67" t="n"/>
      <x:c r="AD30" s="67" t="n"/>
      <x:c r="AE30" s="67" t="n"/>
      <x:c r="AF30" s="67" t="n"/>
      <x:c r="AG30" s="67" t="n"/>
      <x:c r="AH30" s="67" t="n"/>
      <x:c r="AI30" s="67" t="n"/>
      <x:c r="AJ30" s="67" t="n"/>
      <x:c r="AK30" s="67" t="n"/>
      <x:c r="AL30" s="67" t="n"/>
      <x:c r="AM30" s="67" t="n"/>
      <x:c r="AN30" s="67" t="n"/>
      <x:c r="AO30" s="67" t="n"/>
      <x:c r="AP30" s="67" t="n"/>
      <x:c r="AQ30" s="67" t="n"/>
      <x:c r="AR30" s="67" t="n"/>
    </x:row>
    <x:row r="31" s="116" customFormat="1" ht="15.75" customHeight="1">
      <x:c r="A31" s="54" t="n">
        <x:v>46087</x:v>
      </x:c>
      <x:c r="B31" s="67" t="n"/>
      <x:c r="C31" s="67" t="inlineStr">
        <x:is>
          <x:t xml:space="preserve">skip</x:t>
        </x:is>
      </x:c>
      <x:c r="D31" s="67" t="inlineStr">
        <x:is>
          <x:t xml:space="preserve">Unknown</x:t>
        </x:is>
      </x:c>
      <x:c r="E31" s="67" t="n"/>
      <x:c r="F31" s="67" t="n"/>
      <x:c r="G31" s="68" t="n"/>
      <x:c r="H31" s="67" t="n"/>
      <x:c r="I31" s="63" t="n"/>
      <x:c r="J31" s="63" t="n"/>
      <x:c r="K31" s="63" t="n"/>
      <x:c r="M31" t="inlineStr">
        <x:is>
          <x:t xml:space="preserve">Added from Fathom Calls (sales call audit)</x:t>
        </x:is>
      </x:c>
      <x:c r="N31" t="inlineStr">
        <x:is>
          <x:t xml:space="preserve">https://fathom.video/share/FM7eXh9Z5coAyg6_azyrgDHeyKAgEo8U</x:t>
        </x:is>
      </x:c>
      <x:c r="O31" s="48" t="inlineStr">
        <x:is>
          <x:t xml:space="preserve">ChatGPT</x:t>
        </x:is>
      </x:c>
      <x:c r="P31" s="63" t="inlineStr">
        <x:is>
          <x:t xml:space="preserve">2026-03-19T03:25:00Z</x:t>
        </x:is>
      </x:c>
      <x:c r="Q31" s="48" t="n">
        <x:v>3</x:v>
      </x:c>
      <x:c r="R31" s="48" t="n">
        <x:v>2026</x:v>
      </x:c>
      <x:c r="V31" s="67" t="n"/>
      <x:c r="W31" s="67" t="n"/>
      <x:c r="X31" s="67" t="n"/>
      <x:c r="Y31" s="67" t="n"/>
      <x:c r="Z31" s="67" t="n"/>
      <x:c r="AA31" s="67" t="n"/>
      <x:c r="AB31" s="67" t="n"/>
      <x:c r="AC31" s="67" t="n"/>
      <x:c r="AD31" s="67" t="n"/>
      <x:c r="AE31" s="67" t="n"/>
      <x:c r="AF31" s="67" t="n"/>
      <x:c r="AG31" s="67" t="n"/>
      <x:c r="AH31" s="67" t="n"/>
      <x:c r="AI31" s="67" t="n"/>
      <x:c r="AJ31" s="67" t="n"/>
      <x:c r="AK31" s="67" t="n"/>
      <x:c r="AL31" s="67" t="n"/>
      <x:c r="AM31" s="67" t="n"/>
      <x:c r="AN31" s="67" t="n"/>
      <x:c r="AO31" s="67" t="n"/>
      <x:c r="AP31" s="67" t="n"/>
      <x:c r="AQ31" s="67" t="n"/>
      <x:c r="AR31" s="67" t="n"/>
    </x:row>
    <x:row r="32" s="116" customFormat="1" ht="15.75" customHeight="1">
      <x:c r="A32" s="54" t="n">
        <x:v>46085</x:v>
      </x:c>
      <x:c r="B32" s="67" t="n"/>
      <x:c r="C32" s="67" t="inlineStr">
        <x:is>
          <x:t xml:space="preserve">Impromptu Google Meet Meeting</x:t>
        </x:is>
      </x:c>
      <x:c r="D32" s="67" t="inlineStr">
        <x:is>
          <x:t xml:space="preserve">Unknown</x:t>
        </x:is>
      </x:c>
      <x:c r="E32" s="67" t="n"/>
      <x:c r="F32" s="67" t="n"/>
      <x:c r="G32" s="68" t="n"/>
      <x:c r="H32" s="67" t="n"/>
      <x:c r="I32" s="63" t="n"/>
      <x:c r="J32" s="63" t="n"/>
      <x:c r="K32" s="63" t="n"/>
      <x:c r="M32" t="inlineStr">
        <x:is>
          <x:t xml:space="preserve">Added from Fathom Calls — Uncertain Only (sales yes audit)</x:t>
        </x:is>
      </x:c>
      <x:c r="N32" t="inlineStr">
        <x:is>
          <x:t xml:space="preserve">https://fathom.video/share/on47jqiHrKpEMT4HFuRAjM1z4-rnxjc5</x:t>
        </x:is>
      </x:c>
      <x:c r="O32" s="48" t="inlineStr">
        <x:is>
          <x:t xml:space="preserve">ChatGPT</x:t>
        </x:is>
      </x:c>
      <x:c r="P32" s="63" t="inlineStr">
        <x:is>
          <x:t xml:space="preserve">2026-03-19T02:00:57Z</x:t>
        </x:is>
      </x:c>
      <x:c r="Q32" s="48" t="n">
        <x:v>3</x:v>
      </x:c>
      <x:c r="R32" s="48" t="n">
        <x:v>2026</x:v>
      </x:c>
      <x:c r="V32" s="67" t="n"/>
      <x:c r="W32" s="67" t="n"/>
      <x:c r="X32" s="67" t="n"/>
      <x:c r="Y32" s="67" t="n"/>
      <x:c r="Z32" s="67" t="n"/>
      <x:c r="AA32" s="67" t="n"/>
      <x:c r="AB32" s="67" t="n"/>
      <x:c r="AC32" s="67" t="n"/>
      <x:c r="AD32" s="67" t="n"/>
      <x:c r="AE32" s="67" t="n"/>
      <x:c r="AF32" s="67" t="n"/>
      <x:c r="AG32" s="67" t="n"/>
      <x:c r="AH32" s="67" t="n"/>
      <x:c r="AI32" s="67" t="n"/>
      <x:c r="AJ32" s="67" t="n"/>
      <x:c r="AK32" s="67" t="n"/>
      <x:c r="AL32" s="67" t="n"/>
      <x:c r="AM32" s="67" t="n"/>
      <x:c r="AN32" s="67" t="n"/>
      <x:c r="AO32" s="67" t="n"/>
      <x:c r="AP32" s="67" t="n"/>
      <x:c r="AQ32" s="67" t="n"/>
      <x:c r="AR32" s="67" t="n"/>
    </x:row>
    <x:row r="33" s="116" customFormat="1" ht="15.75" customHeight="1">
      <x:c r="A33" s="54" t="n">
        <x:v>46085</x:v>
      </x:c>
      <x:c r="B33" s="67" t="n"/>
      <x:c r="C33" s="67" t="inlineStr">
        <x:is>
          <x:t xml:space="preserve">Raj</x:t>
        </x:is>
      </x:c>
      <x:c r="D33" s="67" t="inlineStr">
        <x:is>
          <x:t xml:space="preserve">Unknown</x:t>
        </x:is>
      </x:c>
      <x:c r="E33" s="67" t="n"/>
      <x:c r="F33" s="67" t="n"/>
      <x:c r="G33" s="68" t="n"/>
      <x:c r="H33" s="67" t="n"/>
      <x:c r="I33" s="63" t="n"/>
      <x:c r="J33" s="63" t="n"/>
      <x:c r="K33" s="63" t="n"/>
      <x:c r="M33" t="inlineStr">
        <x:is>
          <x:t xml:space="preserve">Added from Fathom Calls — Uncertain Only (sales yes audit)</x:t>
        </x:is>
      </x:c>
      <x:c r="N33" t="inlineStr">
        <x:is>
          <x:t xml:space="preserve">https://fathom.video/share/Z2zxqgknBXZmoEzBzfs4azyyVDPyJ5Q9</x:t>
        </x:is>
      </x:c>
      <x:c r="O33" s="48" t="inlineStr">
        <x:is>
          <x:t xml:space="preserve">ChatGPT</x:t>
        </x:is>
      </x:c>
      <x:c r="P33" s="63" t="inlineStr">
        <x:is>
          <x:t xml:space="preserve">2026-03-19T02:00:57Z</x:t>
        </x:is>
      </x:c>
      <x:c r="Q33" s="48" t="n">
        <x:v>3</x:v>
      </x:c>
      <x:c r="R33" s="48" t="n">
        <x:v>2026</x:v>
      </x:c>
      <x:c r="V33" s="67" t="n"/>
      <x:c r="W33" s="67" t="n"/>
      <x:c r="X33" s="67" t="n"/>
      <x:c r="Y33" s="67" t="n"/>
      <x:c r="Z33" s="67" t="n"/>
      <x:c r="AA33" s="67" t="n"/>
      <x:c r="AB33" s="67" t="n"/>
      <x:c r="AC33" s="67" t="n"/>
      <x:c r="AD33" s="67" t="n"/>
      <x:c r="AE33" s="67" t="n"/>
      <x:c r="AF33" s="67" t="n"/>
      <x:c r="AG33" s="67" t="n"/>
      <x:c r="AH33" s="67" t="n"/>
      <x:c r="AI33" s="67" t="n"/>
      <x:c r="AJ33" s="67" t="n"/>
      <x:c r="AK33" s="67" t="n"/>
      <x:c r="AL33" s="67" t="n"/>
      <x:c r="AM33" s="67" t="n"/>
      <x:c r="AN33" s="67" t="n"/>
      <x:c r="AO33" s="67" t="n"/>
      <x:c r="AP33" s="67" t="n"/>
      <x:c r="AQ33" s="67" t="n"/>
      <x:c r="AR33" s="67" t="n"/>
    </x:row>
    <x:row r="34" s="116" customFormat="1" ht="15.75" customHeight="1">
      <x:c r="A34" s="54" t="n">
        <x:v>46083</x:v>
      </x:c>
      <x:c r="B34" s="67" t="n"/>
      <x:c r="C34" s="67" t="inlineStr">
        <x:is>
          <x:t xml:space="preserve">Austin Bennett</x:t>
        </x:is>
      </x:c>
      <x:c r="D34" s="67" t="inlineStr">
        <x:is>
          <x:t xml:space="preserve">Unknown</x:t>
        </x:is>
      </x:c>
      <x:c r="E34" s="67" t="n"/>
      <x:c r="F34" s="67" t="n"/>
      <x:c r="G34" s="68" t="n"/>
      <x:c r="H34" s="67" t="n"/>
      <x:c r="I34" s="63" t="n"/>
      <x:c r="J34" s="63" t="n"/>
      <x:c r="K34" s="63" t="n"/>
      <x:c r="M34" s="48" t="inlineStr">
        <x:is>
          <x:t xml:space="preserve">Added from Fathom Calls — Uncertain Only (sales yes audit)</x:t>
        </x:is>
      </x:c>
      <x:c r="N34" t="inlineStr">
        <x:is>
          <x:t xml:space="preserve">https://fathom.video/share/joxUM911sL74pdZFofGdXzxi5z91wt2G</x:t>
        </x:is>
      </x:c>
      <x:c r="O34" s="48" t="inlineStr">
        <x:is>
          <x:t xml:space="preserve">ChatGPT</x:t>
        </x:is>
      </x:c>
      <x:c r="P34" s="63" t="inlineStr">
        <x:is>
          <x:t xml:space="preserve">2026-03-19T02:00:57Z</x:t>
        </x:is>
      </x:c>
      <x:c r="Q34" s="48" t="n">
        <x:v>3</x:v>
      </x:c>
      <x:c r="R34" s="48" t="n">
        <x:v>2026</x:v>
      </x:c>
      <x:c r="V34" s="67" t="n"/>
      <x:c r="W34" s="67" t="n"/>
      <x:c r="X34" s="67" t="n"/>
      <x:c r="Y34" s="67" t="n"/>
      <x:c r="Z34" s="67" t="n"/>
      <x:c r="AA34" s="67" t="n"/>
      <x:c r="AB34" s="67" t="n"/>
      <x:c r="AC34" s="67" t="n"/>
      <x:c r="AD34" s="67" t="n"/>
      <x:c r="AE34" s="67" t="n"/>
      <x:c r="AF34" s="67" t="n"/>
      <x:c r="AG34" s="67" t="n"/>
      <x:c r="AH34" s="67" t="n"/>
      <x:c r="AI34" s="67" t="n"/>
      <x:c r="AJ34" s="67" t="n"/>
      <x:c r="AK34" s="67" t="n"/>
      <x:c r="AL34" s="67" t="n"/>
      <x:c r="AM34" s="67" t="n"/>
      <x:c r="AN34" s="67" t="n"/>
      <x:c r="AO34" s="67" t="n"/>
      <x:c r="AP34" s="67" t="n"/>
      <x:c r="AQ34" s="67" t="n"/>
      <x:c r="AR34" s="67" t="n"/>
    </x:row>
    <x:row r="35" s="116" customFormat="1" ht="15.75" customHeight="1">
      <x:c r="A35" s="54" t="n">
        <x:v>46083</x:v>
      </x:c>
      <x:c r="B35" s="67" t="n"/>
      <x:c r="C35" s="67" t="inlineStr">
        <x:is>
          <x:t xml:space="preserve">marcelo</x:t>
        </x:is>
      </x:c>
      <x:c r="D35" s="67" t="inlineStr">
        <x:is>
          <x:t xml:space="preserve">Unknown</x:t>
        </x:is>
      </x:c>
      <x:c r="E35" s="67" t="n"/>
      <x:c r="F35" s="67" t="n"/>
      <x:c r="G35" s="68" t="n"/>
      <x:c r="H35" s="67" t="n"/>
      <x:c r="I35" s="63" t="n"/>
      <x:c r="J35" s="63" t="n"/>
      <x:c r="K35" s="63" t="n"/>
      <x:c r="M35" t="inlineStr">
        <x:is>
          <x:t xml:space="preserve">Added from Fathom Calls (sales call audit)</x:t>
        </x:is>
      </x:c>
      <x:c r="N35" t="inlineStr">
        <x:is>
          <x:t xml:space="preserve">https://fathom.video/share/witjQ3uNRtJGHuc-dy7W3x1C9Siexa2g</x:t>
        </x:is>
      </x:c>
      <x:c r="O35" s="48" t="inlineStr">
        <x:is>
          <x:t xml:space="preserve">ChatGPT</x:t>
        </x:is>
      </x:c>
      <x:c r="P35" s="63" t="inlineStr">
        <x:is>
          <x:t xml:space="preserve">2026-03-19T03:25:00Z</x:t>
        </x:is>
      </x:c>
      <x:c r="Q35" s="48" t="n">
        <x:v>3</x:v>
      </x:c>
      <x:c r="R35" s="48" t="n">
        <x:v>2026</x:v>
      </x:c>
      <x:c r="V35" s="67" t="n"/>
      <x:c r="W35" s="67" t="n"/>
      <x:c r="X35" s="67" t="n"/>
      <x:c r="Y35" s="67" t="n"/>
      <x:c r="Z35" s="67" t="n"/>
      <x:c r="AA35" s="67" t="n"/>
      <x:c r="AB35" s="67" t="n"/>
      <x:c r="AC35" s="67" t="n"/>
      <x:c r="AD35" s="67" t="n"/>
      <x:c r="AE35" s="67" t="n"/>
      <x:c r="AF35" s="67" t="n"/>
      <x:c r="AG35" s="67" t="n"/>
      <x:c r="AH35" s="67" t="n"/>
      <x:c r="AI35" s="67" t="n"/>
      <x:c r="AJ35" s="67" t="n"/>
      <x:c r="AK35" s="67" t="n"/>
      <x:c r="AL35" s="67" t="n"/>
      <x:c r="AM35" s="67" t="n"/>
      <x:c r="AN35" s="67" t="n"/>
      <x:c r="AO35" s="67" t="n"/>
      <x:c r="AP35" s="67" t="n"/>
      <x:c r="AQ35" s="67" t="n"/>
      <x:c r="AR35" s="67" t="n"/>
    </x:row>
    <x:row r="36" s="116" customFormat="1" ht="15.75" customHeight="1">
      <x:c r="A36" s="54" t="n">
        <x:v>46083</x:v>
      </x:c>
      <x:c r="B36" s="67" t="n"/>
      <x:c r="C36" s="67" t="inlineStr">
        <x:is>
          <x:t xml:space="preserve">mike baruh</x:t>
        </x:is>
      </x:c>
      <x:c r="D36" s="67" t="inlineStr">
        <x:is>
          <x:t xml:space="preserve">Unknown</x:t>
        </x:is>
      </x:c>
      <x:c r="E36" s="67" t="n"/>
      <x:c r="F36" s="67" t="n"/>
      <x:c r="G36" s="68" t="n"/>
      <x:c r="H36" s="67" t="n"/>
      <x:c r="I36" s="63" t="n"/>
      <x:c r="J36" s="63" t="n"/>
      <x:c r="K36" s="63" t="n"/>
      <x:c r="M36" t="inlineStr">
        <x:is>
          <x:t xml:space="preserve">Added from Fathom Calls (sales call audit)</x:t>
        </x:is>
      </x:c>
      <x:c r="N36" t="inlineStr">
        <x:is>
          <x:t xml:space="preserve">https://fathom.video/share/wNfmSM5DQxw5K62or9Ga9vEwzBxEjkzs</x:t>
        </x:is>
      </x:c>
      <x:c r="O36" s="48" t="inlineStr">
        <x:is>
          <x:t xml:space="preserve">ChatGPT</x:t>
        </x:is>
      </x:c>
      <x:c r="P36" s="63" t="inlineStr">
        <x:is>
          <x:t xml:space="preserve">2026-03-19T03:25:00Z</x:t>
        </x:is>
      </x:c>
      <x:c r="Q36" s="48" t="n">
        <x:v>3</x:v>
      </x:c>
      <x:c r="R36" s="48" t="n">
        <x:v>2026</x:v>
      </x:c>
      <x:c r="V36" s="67" t="n"/>
      <x:c r="W36" s="67" t="n"/>
      <x:c r="X36" s="67" t="n"/>
      <x:c r="Y36" s="67" t="n"/>
      <x:c r="Z36" s="67" t="n"/>
      <x:c r="AA36" s="67" t="n"/>
      <x:c r="AB36" s="67" t="n"/>
      <x:c r="AC36" s="67" t="n"/>
      <x:c r="AD36" s="67" t="n"/>
      <x:c r="AE36" s="67" t="n"/>
      <x:c r="AF36" s="67" t="n"/>
      <x:c r="AG36" s="67" t="n"/>
      <x:c r="AH36" s="67" t="n"/>
      <x:c r="AI36" s="67" t="n"/>
      <x:c r="AJ36" s="67" t="n"/>
      <x:c r="AK36" s="67" t="n"/>
      <x:c r="AL36" s="67" t="n"/>
      <x:c r="AM36" s="67" t="n"/>
      <x:c r="AN36" s="67" t="n"/>
      <x:c r="AO36" s="67" t="n"/>
      <x:c r="AP36" s="67" t="n"/>
      <x:c r="AQ36" s="67" t="n"/>
      <x:c r="AR36" s="67" t="n"/>
    </x:row>
    <x:row r="37" s="116" customFormat="1" ht="15.75" customHeight="1">
      <x:c r="A37" s="54" t="n">
        <x:v>46081</x:v>
      </x:c>
      <x:c r="B37" s="48" t="n"/>
      <x:c r="C37" s="48" t="inlineStr">
        <x:is>
          <x:t xml:space="preserve">clifford</x:t>
        </x:is>
      </x:c>
      <x:c r="D37" s="67" t="inlineStr">
        <x:is>
          <x:t xml:space="preserve">Unknown</x:t>
        </x:is>
      </x:c>
      <x:c r="E37" s="67" t="n"/>
      <x:c r="F37" s="67" t="n"/>
      <x:c r="G37" s="68" t="n"/>
      <x:c r="H37" s="67" t="n"/>
      <x:c r="I37" s="63" t="n"/>
      <x:c r="J37" s="63" t="n"/>
      <x:c r="K37" s="63" t="n"/>
      <x:c r="M37" t="inlineStr">
        <x:is>
          <x:t xml:space="preserve">Added from Fathom Calls (sales call audit)</x:t>
        </x:is>
      </x:c>
      <x:c r="N37" t="inlineStr">
        <x:is>
          <x:t xml:space="preserve">https://fathom.video/share/rwjcHFzQ3YUEyZ_D3kBXG3_pybf1skoe</x:t>
        </x:is>
      </x:c>
      <x:c r="O37" s="48" t="inlineStr">
        <x:is>
          <x:t xml:space="preserve">ChatGPT</x:t>
        </x:is>
      </x:c>
      <x:c r="P37" s="48" t="inlineStr">
        <x:is>
          <x:t xml:space="preserve">2026-03-19T03:25:00Z</x:t>
        </x:is>
      </x:c>
      <x:c r="Q37" s="48" t="n">
        <x:v>2</x:v>
      </x:c>
      <x:c r="R37" s="48" t="n">
        <x:v>2026</x:v>
      </x:c>
    </x:row>
    <x:row r="38" s="116" customFormat="1" ht="15.75" customHeight="1">
      <x:c r="A38" s="54" t="n">
        <x:v>46078</x:v>
      </x:c>
      <x:c r="B38" s="48" t="n"/>
      <x:c r="C38" s="48" t="inlineStr">
        <x:is>
          <x:t xml:space="preserve">james</x:t>
        </x:is>
      </x:c>
      <x:c r="D38" s="67" t="inlineStr">
        <x:is>
          <x:t xml:space="preserve">Unknown</x:t>
        </x:is>
      </x:c>
      <x:c r="E38" s="67" t="n"/>
      <x:c r="F38" s="67" t="n"/>
      <x:c r="G38" s="68" t="n"/>
      <x:c r="H38" s="67" t="n"/>
      <x:c r="I38" s="63" t="n"/>
      <x:c r="J38" s="63" t="n"/>
      <x:c r="K38" s="63" t="n"/>
      <x:c r="L38" s="48" t="n"/>
      <x:c r="M38" s="48" t="inlineStr">
        <x:is>
          <x:t xml:space="preserve">Added from Fathom Calls (sales call audit)</x:t>
        </x:is>
      </x:c>
      <x:c r="N38" t="inlineStr">
        <x:is>
          <x:t xml:space="preserve">https://fathom.video/share/uzMxCw5oWqzMcAkqZ5UosGZxq8py4tvz</x:t>
        </x:is>
      </x:c>
      <x:c r="O38" s="48" t="inlineStr">
        <x:is>
          <x:t xml:space="preserve">ChatGPT</x:t>
        </x:is>
      </x:c>
      <x:c r="P38" s="48" t="inlineStr">
        <x:is>
          <x:t xml:space="preserve">2026-03-19T03:25:00Z</x:t>
        </x:is>
      </x:c>
      <x:c r="Q38" s="48" t="n">
        <x:v>2</x:v>
      </x:c>
      <x:c r="R38" s="48" t="n">
        <x:v>2026</x:v>
      </x:c>
    </x:row>
    <x:row r="39" s="116" customFormat="1" ht="15.75" customHeight="1">
      <x:c r="A39" s="54" t="n">
        <x:v>46078</x:v>
      </x:c>
      <x:c r="B39" s="48" t="n"/>
      <x:c r="C39" s="48" t="inlineStr">
        <x:is>
          <x:t xml:space="preserve">merlin</x:t>
        </x:is>
      </x:c>
      <x:c r="D39" s="67" t="inlineStr">
        <x:is>
          <x:t xml:space="preserve">Unknown</x:t>
        </x:is>
      </x:c>
      <x:c r="E39" s="67" t="n"/>
      <x:c r="F39" s="67" t="n"/>
      <x:c r="G39" s="68" t="n"/>
      <x:c r="H39" s="67" t="n"/>
      <x:c r="I39" s="63" t="n"/>
      <x:c r="J39" s="63" t="n"/>
      <x:c r="K39" s="63" t="n"/>
      <x:c r="M39" t="inlineStr">
        <x:is>
          <x:t xml:space="preserve">Added from Fathom Calls (sales call audit)</x:t>
        </x:is>
      </x:c>
      <x:c r="N39" t="inlineStr">
        <x:is>
          <x:t xml:space="preserve">https://fathom.video/share/y3mmAEtrqpvV7g2zT-oc6x8W6AAU3ts3</x:t>
        </x:is>
      </x:c>
      <x:c r="O39" s="48" t="inlineStr">
        <x:is>
          <x:t xml:space="preserve">ChatGPT</x:t>
        </x:is>
      </x:c>
      <x:c r="P39" s="48" t="inlineStr">
        <x:is>
          <x:t xml:space="preserve">2026-03-19T03:25:00Z</x:t>
        </x:is>
      </x:c>
      <x:c r="Q39" s="48" t="n">
        <x:v>2</x:v>
      </x:c>
      <x:c r="R39" s="48" t="n">
        <x:v>2026</x:v>
      </x:c>
    </x:row>
    <x:row r="40" s="116" customFormat="1" ht="15.75" customHeight="1">
      <x:c r="A40" s="4" t="n">
        <x:v>46078</x:v>
      </x:c>
      <x:c r="B40" s="48" t="n"/>
      <x:c r="C40" s="48" t="inlineStr">
        <x:is>
          <x:t xml:space="preserve">skyler brucher</x:t>
        </x:is>
      </x:c>
      <x:c r="D40" s="67" t="inlineStr">
        <x:is>
          <x:t xml:space="preserve">Unknown</x:t>
        </x:is>
      </x:c>
      <x:c r="E40" s="67" t="n"/>
      <x:c r="F40" s="67" t="n"/>
      <x:c r="G40" s="68" t="n"/>
      <x:c r="H40" s="67" t="n"/>
      <x:c r="I40" s="63" t="n"/>
      <x:c r="J40" s="63" t="n"/>
      <x:c r="K40" s="63" t="n"/>
      <x:c r="M40" s="48" t="inlineStr">
        <x:is>
          <x:t xml:space="preserve">Added from Fathom Calls (sales call audit)</x:t>
        </x:is>
      </x:c>
      <x:c r="N40" t="inlineStr">
        <x:is>
          <x:t xml:space="preserve">https://fathom.video/share/pwcFsBcftsKSpMp8cxtf3z61oU4xrsjt</x:t>
        </x:is>
      </x:c>
      <x:c r="O40" s="48" t="inlineStr">
        <x:is>
          <x:t xml:space="preserve">ChatGPT</x:t>
        </x:is>
      </x:c>
      <x:c r="P40" s="48" t="inlineStr">
        <x:is>
          <x:t xml:space="preserve">2026-03-19T03:25:00Z</x:t>
        </x:is>
      </x:c>
      <x:c r="Q40" s="48" t="n">
        <x:v>2</x:v>
      </x:c>
      <x:c r="R40" s="48" t="n">
        <x:v>2026</x:v>
      </x:c>
    </x:row>
    <x:row r="41" s="116" customFormat="1" ht="15.75" customHeight="1">
      <x:c r="A41" s="4" t="n">
        <x:v>46077</x:v>
      </x:c>
      <x:c r="B41" s="48" t="n"/>
      <x:c r="C41" s="48" t="inlineStr">
        <x:is>
          <x:t xml:space="preserve">Chris</x:t>
        </x:is>
      </x:c>
      <x:c r="D41" s="67" t="inlineStr">
        <x:is>
          <x:t xml:space="preserve">Ads</x:t>
        </x:is>
      </x:c>
      <x:c r="E41" s="67" t="inlineStr">
        <x:is>
          <x:t xml:space="preserve">Ads - No Setter</x:t>
        </x:is>
      </x:c>
      <x:c r="F41" s="67" t="inlineStr">
        <x:is>
          <x:t xml:space="preserve">No-Show</x:t>
        </x:is>
      </x:c>
      <x:c r="G41" s="68" t="n"/>
      <x:c r="H41" s="67" t="inlineStr">
        <x:is>
          <x:t xml:space="preserve">Max</x:t>
        </x:is>
      </x:c>
      <x:c r="I41" s="63" t="n">
        <x:v>2000</x:v>
      </x:c>
      <x:c r="J41" s="63" t="n">
        <x:v>8000</x:v>
      </x:c>
      <x:c r="K41" s="63" t="b">
        <x:v>0</x:v>
      </x:c>
      <x:c r="O41" s="48" t="inlineStr">
        <x:is>
          <x:t xml:space="preserve">Davi</x:t>
        </x:is>
      </x:c>
      <x:c r="P41" s="48" t="inlineStr">
        <x:is>
          <x:t xml:space="preserve">2026-03-18T15:57:07.539Z</x:t>
        </x:is>
      </x:c>
      <x:c r="Q41" s="48" t="n">
        <x:v>3</x:v>
      </x:c>
      <x:c r="R41" s="48" t="n">
        <x:v>2026</x:v>
      </x:c>
    </x:row>
    <x:row r="42" s="116" customFormat="1" ht="15.75" customHeight="1">
      <x:c r="A42" s="4" t="n">
        <x:v>46077</x:v>
      </x:c>
      <x:c r="B42" s="48" t="n"/>
      <x:c r="C42" s="48" t="inlineStr">
        <x:is>
          <x:t xml:space="preserve">Fabiana</x:t>
        </x:is>
      </x:c>
      <x:c r="D42" s="67" t="inlineStr">
        <x:is>
          <x:t xml:space="preserve">Ads</x:t>
        </x:is>
      </x:c>
      <x:c r="E42" s="67" t="inlineStr">
        <x:is>
          <x:t xml:space="preserve">Ads - No Setter</x:t>
        </x:is>
      </x:c>
      <x:c r="F42" s="67" t="inlineStr">
        <x:is>
          <x:t xml:space="preserve">Showed</x:t>
        </x:is>
      </x:c>
      <x:c r="G42" s="68" t="inlineStr">
        <x:is>
          <x:t xml:space="preserve">No Closed</x:t>
        </x:is>
      </x:c>
      <x:c r="H42" s="67" t="inlineStr">
        <x:is>
          <x:t xml:space="preserve">Max</x:t>
        </x:is>
      </x:c>
      <x:c r="I42" s="63" t="n"/>
      <x:c r="J42" s="63" t="n"/>
      <x:c r="K42" s="63" t="n"/>
      <x:c r="L42" t="inlineStr">
        <x:is>
          <x:t xml:space="preserve">she was already spending a lot on ads i didnt know how to close</x:t>
        </x:is>
      </x:c>
      <x:c r="M42" s="48" t="n"/>
      <x:c r="N42" t="inlineStr">
        <x:is>
          <x:t xml:space="preserve">https://fathom.video/share/LX-wxS8Yjxwj6S33Y1egFjVygvwor91m</x:t>
        </x:is>
      </x:c>
      <x:c r="O42" s="48" t="inlineStr">
        <x:is>
          <x:t xml:space="preserve">Davi</x:t>
        </x:is>
      </x:c>
      <x:c r="P42" s="48" t="inlineStr">
        <x:is>
          <x:t xml:space="preserve">2026-03-18T15:57:07.539Z</x:t>
        </x:is>
      </x:c>
      <x:c r="Q42" s="48" t="n">
        <x:v>3</x:v>
      </x:c>
      <x:c r="R42" s="48" t="n">
        <x:v>2026</x:v>
      </x:c>
    </x:row>
    <x:row r="43" s="116" customFormat="1" ht="15.75" customHeight="1">
      <x:c r="A43" s="4" t="n">
        <x:v>46077</x:v>
      </x:c>
      <x:c r="B43" s="48" t="n"/>
      <x:c r="C43" s="48" t="inlineStr">
        <x:is>
          <x:t xml:space="preserve">ivan</x:t>
        </x:is>
      </x:c>
      <x:c r="D43" s="67" t="inlineStr">
        <x:is>
          <x:t xml:space="preserve">Unknown</x:t>
        </x:is>
      </x:c>
      <x:c r="E43" s="67" t="n"/>
      <x:c r="F43" s="67" t="n"/>
      <x:c r="G43" s="68" t="n"/>
      <x:c r="H43" s="67" t="n"/>
      <x:c r="I43" s="63" t="n"/>
      <x:c r="J43" s="63" t="n"/>
      <x:c r="K43" s="63" t="n"/>
      <x:c r="M43" t="inlineStr">
        <x:is>
          <x:t xml:space="preserve">Added from Fathom Calls (sales call audit)</x:t>
        </x:is>
      </x:c>
      <x:c r="N43" t="inlineStr">
        <x:is>
          <x:t xml:space="preserve">https://fathom.video/share/6kPKZtbxDmQ4d5ufv73Ki1hNcAY22BPy</x:t>
        </x:is>
      </x:c>
      <x:c r="O43" s="48" t="inlineStr">
        <x:is>
          <x:t xml:space="preserve">ChatGPT</x:t>
        </x:is>
      </x:c>
      <x:c r="P43" s="48" t="inlineStr">
        <x:is>
          <x:t xml:space="preserve">2026-03-19T03:25:00Z</x:t>
        </x:is>
      </x:c>
      <x:c r="Q43" s="48" t="n">
        <x:v>2</x:v>
      </x:c>
      <x:c r="R43" s="48" t="n">
        <x:v>2026</x:v>
      </x:c>
    </x:row>
    <x:row r="44" s="116" customFormat="1" ht="15.75" customHeight="1">
      <x:c r="A44" s="4" t="n">
        <x:v>46077</x:v>
      </x:c>
      <x:c r="B44" s="48" t="n"/>
      <x:c r="C44" s="48" t="inlineStr">
        <x:is>
          <x:t xml:space="preserve">Matt Interior</x:t>
        </x:is>
      </x:c>
      <x:c r="D44" s="67" t="inlineStr">
        <x:is>
          <x:t xml:space="preserve">Cold SMS</x:t>
        </x:is>
      </x:c>
      <x:c r="E44" s="67" t="inlineStr">
        <x:is>
          <x:t xml:space="preserve">Randy</x:t>
        </x:is>
      </x:c>
      <x:c r="F44" s="67" t="inlineStr">
        <x:is>
          <x:t xml:space="preserve">Showed</x:t>
        </x:is>
      </x:c>
      <x:c r="G44" s="68" t="inlineStr">
        <x:is>
          <x:t xml:space="preserve">Closed</x:t>
        </x:is>
      </x:c>
      <x:c r="H44" s="67" t="inlineStr">
        <x:is>
          <x:t xml:space="preserve">Max</x:t>
        </x:is>
      </x:c>
      <x:c r="I44" s="63" t="n">
        <x:v>1200</x:v>
      </x:c>
      <x:c r="J44" s="63" t="n">
        <x:v>4800</x:v>
      </x:c>
      <x:c r="K44" s="63" t="b">
        <x:v>0</x:v>
      </x:c>
      <x:c r="N44" t="inlineStr">
        <x:is>
          <x:t xml:space="preserve">https://fathom.video/share/pwEyxj2eHsq7mw73yQQzDoygBgZcW1B_</x:t>
        </x:is>
      </x:c>
      <x:c r="O44" s="48" t="inlineStr">
        <x:is>
          <x:t xml:space="preserve">Davi</x:t>
        </x:is>
      </x:c>
      <x:c r="P44" s="48" t="inlineStr">
        <x:is>
          <x:t xml:space="preserve">2026-03-19T00:09:32.232Z</x:t>
        </x:is>
      </x:c>
      <x:c r="Q44" s="48" t="n">
        <x:v>3</x:v>
      </x:c>
      <x:c r="R44" s="48" t="n">
        <x:v>2026</x:v>
      </x:c>
    </x:row>
    <x:row r="45" s="116" customFormat="1" ht="15.75" customHeight="1">
      <x:c r="A45" s="4" t="n">
        <x:v>46077</x:v>
      </x:c>
      <x:c r="B45" s="48" t="n"/>
      <x:c r="C45" s="48" t="inlineStr">
        <x:is>
          <x:t xml:space="preserve">Sean </x:t>
        </x:is>
      </x:c>
      <x:c r="D45" s="67" t="inlineStr">
        <x:is>
          <x:t xml:space="preserve">Cold SMS</x:t>
        </x:is>
      </x:c>
      <x:c r="E45" s="67" t="inlineStr">
        <x:is>
          <x:t xml:space="preserve">Daniel</x:t>
        </x:is>
      </x:c>
      <x:c r="F45" s="67" t="inlineStr">
        <x:is>
          <x:t xml:space="preserve">Showed</x:t>
        </x:is>
      </x:c>
      <x:c r="G45" s="68" t="inlineStr">
        <x:is>
          <x:t xml:space="preserve">Closed</x:t>
        </x:is>
      </x:c>
      <x:c r="H45" s="67" t="inlineStr">
        <x:is>
          <x:t xml:space="preserve">Max</x:t>
        </x:is>
      </x:c>
      <x:c r="I45" s="63" t="n">
        <x:v>1000</x:v>
      </x:c>
      <x:c r="J45" s="63" t="n">
        <x:v>5000</x:v>
      </x:c>
      <x:c r="K45" s="63" t="b">
        <x:v>1</x:v>
      </x:c>
      <x:c r="O45" s="48" t="inlineStr">
        <x:is>
          <x:t xml:space="preserve">Davi</x:t>
        </x:is>
      </x:c>
      <x:c r="P45" s="48" t="inlineStr">
        <x:is>
          <x:t xml:space="preserve">2026-03-18T15:57:07.539Z</x:t>
        </x:is>
      </x:c>
      <x:c r="Q45" s="48" t="n">
        <x:v>3</x:v>
      </x:c>
      <x:c r="R45" s="48" t="n">
        <x:v>2026</x:v>
      </x:c>
    </x:row>
    <x:row r="46" s="116" customFormat="1" ht="15.75" customHeight="1">
      <x:c r="A46" s="4" t="n">
        <x:v>46077</x:v>
      </x:c>
      <x:c r="B46" s="48" t="n"/>
      <x:c r="C46" s="48" t="inlineStr">
        <x:is>
          <x:t xml:space="preserve">shaun</x:t>
        </x:is>
      </x:c>
      <x:c r="D46" s="67" t="inlineStr">
        <x:is>
          <x:t xml:space="preserve">Unknown</x:t>
        </x:is>
      </x:c>
      <x:c r="E46" s="67" t="n"/>
      <x:c r="F46" s="67" t="n"/>
      <x:c r="G46" s="68" t="n"/>
      <x:c r="H46" s="67" t="n"/>
      <x:c r="I46" s="63" t="n"/>
      <x:c r="J46" s="63" t="n"/>
      <x:c r="K46" s="63" t="n"/>
      <x:c r="M46" t="inlineStr">
        <x:is>
          <x:t xml:space="preserve">Added from Fathom Calls (sales call audit)</x:t>
        </x:is>
      </x:c>
      <x:c r="N46" t="inlineStr">
        <x:is>
          <x:t xml:space="preserve">https://fathom.video/share/cJPmyXrcqSgy_5tGojszCHi4-7kSt3xk</x:t>
        </x:is>
      </x:c>
      <x:c r="O46" s="48" t="inlineStr">
        <x:is>
          <x:t xml:space="preserve">ChatGPT</x:t>
        </x:is>
      </x:c>
      <x:c r="P46" s="48" t="inlineStr">
        <x:is>
          <x:t xml:space="preserve">2026-03-19T03:25:00Z</x:t>
        </x:is>
      </x:c>
      <x:c r="Q46" s="48" t="n">
        <x:v>2</x:v>
      </x:c>
      <x:c r="R46" s="48" t="n">
        <x:v>2026</x:v>
      </x:c>
    </x:row>
    <x:row r="47" s="116" customFormat="1" ht="15.75" customHeight="1">
      <x:c r="A47" s="4" t="n">
        <x:v>46076</x:v>
      </x:c>
      <x:c r="B47" s="48" t="n"/>
      <x:c r="C47" s="48" t="inlineStr">
        <x:is>
          <x:t xml:space="preserve">Dan Sullivan</x:t>
        </x:is>
      </x:c>
      <x:c r="D47" s="67" t="inlineStr">
        <x:is>
          <x:t xml:space="preserve">Ads</x:t>
        </x:is>
      </x:c>
      <x:c r="E47" s="67" t="inlineStr">
        <x:is>
          <x:t xml:space="preserve">Ads - No Setter</x:t>
        </x:is>
      </x:c>
      <x:c r="F47" s="67" t="inlineStr">
        <x:is>
          <x:t xml:space="preserve">No-Show</x:t>
        </x:is>
      </x:c>
      <x:c r="G47" s="68" t="n"/>
      <x:c r="H47" s="67" t="inlineStr">
        <x:is>
          <x:t xml:space="preserve">Max</x:t>
        </x:is>
      </x:c>
      <x:c r="I47" s="63" t="n"/>
      <x:c r="J47" s="63" t="n"/>
      <x:c r="K47" s="63" t="n"/>
      <x:c r="O47" s="48" t="inlineStr">
        <x:is>
          <x:t xml:space="preserve">Davi</x:t>
        </x:is>
      </x:c>
      <x:c r="P47" s="48" t="inlineStr">
        <x:is>
          <x:t xml:space="preserve">2026-03-18T15:57:11.018Z</x:t>
        </x:is>
      </x:c>
      <x:c r="Q47" s="48" t="n">
        <x:v>3</x:v>
      </x:c>
      <x:c r="R47" s="48" t="n">
        <x:v>2026</x:v>
      </x:c>
    </x:row>
    <x:row r="48" s="116" customFormat="1" ht="15.75" customHeight="1">
      <x:c r="A48" s="4" t="n">
        <x:v>46076</x:v>
      </x:c>
      <x:c r="C48" s="48" t="inlineStr">
        <x:is>
          <x:t xml:space="preserve">Gene Campbell</x:t>
        </x:is>
      </x:c>
      <x:c r="D48" s="67" t="inlineStr">
        <x:is>
          <x:t xml:space="preserve">Ads</x:t>
        </x:is>
      </x:c>
      <x:c r="E48" s="67" t="inlineStr">
        <x:is>
          <x:t xml:space="preserve">Ads - No Setter</x:t>
        </x:is>
      </x:c>
      <x:c r="F48" s="67" t="inlineStr">
        <x:is>
          <x:t xml:space="preserve">Showed</x:t>
        </x:is>
      </x:c>
      <x:c r="G48" s="68" t="inlineStr">
        <x:is>
          <x:t xml:space="preserve">Follow-up required</x:t>
        </x:is>
      </x:c>
      <x:c r="H48" s="67" t="inlineStr">
        <x:is>
          <x:t xml:space="preserve">Max</x:t>
        </x:is>
      </x:c>
      <x:c r="I48" s="63" t="n"/>
      <x:c r="J48" s="63" t="n"/>
      <x:c r="K48" s="63" t="n"/>
      <x:c r="L48" s="48" t="n"/>
      <x:c r="N48" t="inlineStr">
        <x:is>
          <x:t xml:space="preserve">https://fathom.video/share/cZhL8dPpQywBWXXmY7Gw8HMzw-8mWzrz</x:t>
        </x:is>
      </x:c>
      <x:c r="O48" s="48" t="inlineStr">
        <x:is>
          <x:t xml:space="preserve">Davi</x:t>
        </x:is>
      </x:c>
      <x:c r="P48" t="inlineStr">
        <x:is>
          <x:t xml:space="preserve">2026-03-18T15:57:11.018Z</x:t>
        </x:is>
      </x:c>
      <x:c r="Q48" t="n">
        <x:v>3</x:v>
      </x:c>
      <x:c r="R48" t="n">
        <x:v>2026</x:v>
      </x:c>
    </x:row>
    <x:row r="49" s="116" customFormat="1" ht="15.75" customHeight="1">
      <x:c r="A49" s="4" t="n">
        <x:v>46076</x:v>
      </x:c>
      <x:c r="C49" s="48" t="inlineStr">
        <x:is>
          <x:t xml:space="preserve">Jake </x:t>
        </x:is>
      </x:c>
      <x:c r="D49" s="67" t="inlineStr">
        <x:is>
          <x:t xml:space="preserve">Cold SMS</x:t>
        </x:is>
      </x:c>
      <x:c r="E49" s="67" t="inlineStr">
        <x:is>
          <x:t xml:space="preserve">Randy</x:t>
        </x:is>
      </x:c>
      <x:c r="F49" s="67" t="inlineStr">
        <x:is>
          <x:t xml:space="preserve">No-Show</x:t>
        </x:is>
      </x:c>
      <x:c r="G49" s="68" t="n"/>
      <x:c r="H49" s="67" t="inlineStr">
        <x:is>
          <x:t xml:space="preserve">Max</x:t>
        </x:is>
      </x:c>
      <x:c r="I49" s="63" t="n"/>
      <x:c r="J49" s="63" t="n"/>
      <x:c r="K49" s="63" t="n"/>
      <x:c r="L49" s="48" t="n"/>
      <x:c r="O49" s="48" t="inlineStr">
        <x:is>
          <x:t xml:space="preserve">Davi</x:t>
        </x:is>
      </x:c>
      <x:c r="P49" t="inlineStr">
        <x:is>
          <x:t xml:space="preserve">2026-03-18T15:57:11.018Z</x:t>
        </x:is>
      </x:c>
      <x:c r="Q49" t="n">
        <x:v>3</x:v>
      </x:c>
      <x:c r="R49" t="n">
        <x:v>2026</x:v>
      </x:c>
    </x:row>
    <x:row r="50" s="116" customFormat="1" ht="15.75" customHeight="1">
      <x:c r="A50" s="4" t="n">
        <x:v>46076</x:v>
      </x:c>
      <x:c r="C50" s="48" t="inlineStr">
        <x:is>
          <x:t xml:space="preserve">Laszlo Development</x:t>
        </x:is>
      </x:c>
      <x:c r="D50" s="67" t="inlineStr">
        <x:is>
          <x:t xml:space="preserve">Cold SMS</x:t>
        </x:is>
      </x:c>
      <x:c r="E50" s="67" t="inlineStr">
        <x:is>
          <x:t xml:space="preserve">Daniel</x:t>
        </x:is>
      </x:c>
      <x:c r="F50" s="67" t="inlineStr">
        <x:is>
          <x:t xml:space="preserve">Showed</x:t>
        </x:is>
      </x:c>
      <x:c r="G50" s="68" t="inlineStr">
        <x:is>
          <x:t xml:space="preserve">No Closed</x:t>
        </x:is>
      </x:c>
      <x:c r="H50" s="67" t="inlineStr">
        <x:is>
          <x:t xml:space="preserve">Max</x:t>
        </x:is>
      </x:c>
      <x:c r="I50" s="63" t="n"/>
      <x:c r="J50" s="63" t="n"/>
      <x:c r="K50" s="63" t="n"/>
      <x:c r="L50" s="48" t="n"/>
      <x:c r="N50" t="inlineStr">
        <x:is>
          <x:t xml:space="preserve">https://fathom.video/share/WiH5-cou8xvujoz8eAQ9B4cqXQkEttSB</x:t>
        </x:is>
      </x:c>
      <x:c r="O50" s="48" t="inlineStr">
        <x:is>
          <x:t xml:space="preserve">Davi</x:t>
        </x:is>
      </x:c>
      <x:c r="P50" t="inlineStr">
        <x:is>
          <x:t xml:space="preserve">2026-03-18T15:57:11.018Z</x:t>
        </x:is>
      </x:c>
      <x:c r="Q50" t="n">
        <x:v>3</x:v>
      </x:c>
      <x:c r="R50" t="n">
        <x:v>2026</x:v>
      </x:c>
    </x:row>
    <x:row r="51" s="116" customFormat="1" ht="15.75" customHeight="1">
      <x:c r="A51" s="4" t="n">
        <x:v>46076</x:v>
      </x:c>
      <x:c r="C51" s="48" t="inlineStr">
        <x:is>
          <x:t xml:space="preserve">Sio Fuentes</x:t>
        </x:is>
      </x:c>
      <x:c r="D51" s="67" t="inlineStr">
        <x:is>
          <x:t xml:space="preserve">Ads</x:t>
        </x:is>
      </x:c>
      <x:c r="E51" s="67" t="inlineStr">
        <x:is>
          <x:t xml:space="preserve">Ads - No Setter</x:t>
        </x:is>
      </x:c>
      <x:c r="F51" s="67" t="inlineStr">
        <x:is>
          <x:t xml:space="preserve">No-Show</x:t>
        </x:is>
      </x:c>
      <x:c r="G51" s="68" t="n"/>
      <x:c r="H51" s="67" t="inlineStr">
        <x:is>
          <x:t xml:space="preserve">Max</x:t>
        </x:is>
      </x:c>
      <x:c r="I51" s="63" t="n"/>
      <x:c r="J51" s="63" t="n"/>
      <x:c r="K51" s="63" t="n"/>
      <x:c r="N51" t="n"/>
      <x:c r="O51" s="48" t="inlineStr">
        <x:is>
          <x:t xml:space="preserve">Davi</x:t>
        </x:is>
      </x:c>
      <x:c r="P51" t="inlineStr">
        <x:is>
          <x:t xml:space="preserve">2026-03-18T15:57:11.018Z</x:t>
        </x:is>
      </x:c>
      <x:c r="Q51" t="n">
        <x:v>3</x:v>
      </x:c>
      <x:c r="R51" t="n">
        <x:v>2026</x:v>
      </x:c>
    </x:row>
    <x:row r="52" s="116" customFormat="1" ht="15.75" customHeight="1">
      <x:c r="A52" s="4" t="n">
        <x:v>46076</x:v>
      </x:c>
      <x:c r="C52" s="48" t="inlineStr">
        <x:is>
          <x:t xml:space="preserve">Victor Rodrigues</x:t>
        </x:is>
      </x:c>
      <x:c r="D52" s="67" t="inlineStr">
        <x:is>
          <x:t xml:space="preserve">Ads</x:t>
        </x:is>
      </x:c>
      <x:c r="E52" s="67" t="inlineStr">
        <x:is>
          <x:t xml:space="preserve">Ads - No Setter</x:t>
        </x:is>
      </x:c>
      <x:c r="F52" s="67" t="inlineStr">
        <x:is>
          <x:t xml:space="preserve">No-Show</x:t>
        </x:is>
      </x:c>
      <x:c r="G52" s="68" t="n"/>
      <x:c r="H52" s="67" t="inlineStr">
        <x:is>
          <x:t xml:space="preserve">Max</x:t>
        </x:is>
      </x:c>
      <x:c r="I52" s="63" t="n"/>
      <x:c r="J52" s="63" t="n"/>
      <x:c r="K52" s="63" t="n"/>
      <x:c r="N52" t="n"/>
      <x:c r="O52" s="48" t="inlineStr">
        <x:is>
          <x:t xml:space="preserve">Davi</x:t>
        </x:is>
      </x:c>
      <x:c r="P52" t="inlineStr">
        <x:is>
          <x:t xml:space="preserve">2026-03-18T15:57:11.018Z</x:t>
        </x:is>
      </x:c>
      <x:c r="Q52" t="n">
        <x:v>3</x:v>
      </x:c>
      <x:c r="R52" t="n">
        <x:v>2026</x:v>
      </x:c>
    </x:row>
    <x:row r="53" s="116" customFormat="1" ht="15.75" customHeight="1">
      <x:c r="A53" s="4" t="n">
        <x:v>46074</x:v>
      </x:c>
      <x:c r="C53" s="48" t="inlineStr">
        <x:is>
          <x:t xml:space="preserve">Carlos T</x:t>
        </x:is>
      </x:c>
      <x:c r="D53" s="67" t="inlineStr">
        <x:is>
          <x:t xml:space="preserve">Ads</x:t>
        </x:is>
      </x:c>
      <x:c r="E53" s="67" t="inlineStr">
        <x:is>
          <x:t xml:space="preserve">Ads - No Setter</x:t>
        </x:is>
      </x:c>
      <x:c r="F53" s="67" t="inlineStr">
        <x:is>
          <x:t xml:space="preserve">No-Show</x:t>
        </x:is>
      </x:c>
      <x:c r="G53" s="68" t="n"/>
      <x:c r="H53" s="67" t="inlineStr">
        <x:is>
          <x:t xml:space="preserve">Max</x:t>
        </x:is>
      </x:c>
      <x:c r="I53" s="63" t="n"/>
      <x:c r="J53" s="63" t="n"/>
      <x:c r="K53" s="63" t="n"/>
      <x:c r="O53" s="48" t="inlineStr">
        <x:is>
          <x:t xml:space="preserve">Davi</x:t>
        </x:is>
      </x:c>
      <x:c r="P53" t="inlineStr">
        <x:is>
          <x:t xml:space="preserve">2026-03-18T15:57:11.018Z</x:t>
        </x:is>
      </x:c>
      <x:c r="Q53" t="n">
        <x:v>3</x:v>
      </x:c>
      <x:c r="R53" t="n">
        <x:v>2026</x:v>
      </x:c>
    </x:row>
    <x:row r="54" s="116" customFormat="1" ht="15.75" customHeight="1">
      <x:c r="A54" s="4" t="n">
        <x:v>46074</x:v>
      </x:c>
      <x:c r="C54" s="48" t="inlineStr">
        <x:is>
          <x:t xml:space="preserve">Ivan Davalos</x:t>
        </x:is>
      </x:c>
      <x:c r="D54" s="67" t="inlineStr">
        <x:is>
          <x:t xml:space="preserve">Ads</x:t>
        </x:is>
      </x:c>
      <x:c r="E54" s="67" t="inlineStr">
        <x:is>
          <x:t xml:space="preserve">Ads - No Setter</x:t>
        </x:is>
      </x:c>
      <x:c r="F54" s="67" t="inlineStr">
        <x:is>
          <x:t xml:space="preserve">No-Show</x:t>
        </x:is>
      </x:c>
      <x:c r="G54" s="68" t="n"/>
      <x:c r="H54" s="67" t="inlineStr">
        <x:is>
          <x:t xml:space="preserve">Max</x:t>
        </x:is>
      </x:c>
      <x:c r="I54" s="63" t="n"/>
      <x:c r="J54" s="63" t="n"/>
      <x:c r="K54" s="63" t="n"/>
      <x:c r="O54" s="48" t="inlineStr">
        <x:is>
          <x:t xml:space="preserve">Davi</x:t>
        </x:is>
      </x:c>
      <x:c r="P54" t="inlineStr">
        <x:is>
          <x:t xml:space="preserve">2026-03-18T15:57:11.018Z</x:t>
        </x:is>
      </x:c>
      <x:c r="Q54" t="n">
        <x:v>3</x:v>
      </x:c>
      <x:c r="R54" t="n">
        <x:v>2026</x:v>
      </x:c>
    </x:row>
    <x:row r="55" s="116" customFormat="1" ht="15.75" customHeight="1">
      <x:c r="A55" s="4" t="n">
        <x:v>46073</x:v>
      </x:c>
      <x:c r="C55" s="71" t="inlineStr">
        <x:is>
          <x:t xml:space="preserve">Bradley Cross</x:t>
        </x:is>
      </x:c>
      <x:c r="D55" s="67" t="inlineStr">
        <x:is>
          <x:t xml:space="preserve">Ads</x:t>
        </x:is>
      </x:c>
      <x:c r="E55" s="67" t="inlineStr">
        <x:is>
          <x:t xml:space="preserve">Ads - No Setter</x:t>
        </x:is>
      </x:c>
      <x:c r="F55" s="67" t="inlineStr">
        <x:is>
          <x:t xml:space="preserve">No-Show</x:t>
        </x:is>
      </x:c>
      <x:c r="G55" s="68" t="n"/>
      <x:c r="H55" s="67" t="inlineStr">
        <x:is>
          <x:t xml:space="preserve">Max</x:t>
        </x:is>
      </x:c>
      <x:c r="I55" s="63" t="n"/>
      <x:c r="J55" s="63" t="n"/>
      <x:c r="K55" s="63" t="n"/>
      <x:c r="N55" t="n"/>
      <x:c r="O55" s="48" t="inlineStr">
        <x:is>
          <x:t xml:space="preserve">Davi</x:t>
        </x:is>
      </x:c>
      <x:c r="P55" t="inlineStr">
        <x:is>
          <x:t xml:space="preserve">2026-03-19T00:09:32.233Z</x:t>
        </x:is>
      </x:c>
      <x:c r="Q55" t="n">
        <x:v>3</x:v>
      </x:c>
      <x:c r="R55" t="n">
        <x:v>2026</x:v>
      </x:c>
    </x:row>
    <x:row r="56" s="116" customFormat="1" ht="15.75" customHeight="1">
      <x:c r="A56" s="44" t="n">
        <x:v>46073</x:v>
      </x:c>
      <x:c r="B56" s="67" t="n"/>
      <x:c r="C56" s="67" t="inlineStr">
        <x:is>
          <x:t xml:space="preserve">Donald </x:t>
        </x:is>
      </x:c>
      <x:c r="D56" s="67" t="inlineStr">
        <x:is>
          <x:t xml:space="preserve">Cold SMS</x:t>
        </x:is>
      </x:c>
      <x:c r="E56" s="67" t="inlineStr">
        <x:is>
          <x:t xml:space="preserve">Randy</x:t>
        </x:is>
      </x:c>
      <x:c r="F56" s="67" t="inlineStr">
        <x:is>
          <x:t xml:space="preserve">No-Show</x:t>
        </x:is>
      </x:c>
      <x:c r="G56" s="68" t="n"/>
      <x:c r="H56" s="67" t="inlineStr">
        <x:is>
          <x:t xml:space="preserve">Max</x:t>
        </x:is>
      </x:c>
      <x:c r="I56" s="34" t="n"/>
      <x:c r="J56" s="34" t="n"/>
      <x:c r="K56" s="72" t="n"/>
      <x:c r="L56" s="34" t="n"/>
      <x:c r="M56" s="34" t="n"/>
      <x:c r="N56" s="34" t="n"/>
      <x:c r="O56" s="67" t="inlineStr">
        <x:is>
          <x:t xml:space="preserve">Davi</x:t>
        </x:is>
      </x:c>
      <x:c r="P56" t="inlineStr">
        <x:is>
          <x:t xml:space="preserve">2026-03-19T00:09:32.233Z</x:t>
        </x:is>
      </x:c>
      <x:c r="Q56" t="n">
        <x:v>3</x:v>
      </x:c>
      <x:c r="R56" t="n">
        <x:v>2026</x:v>
      </x:c>
    </x:row>
    <x:row r="57" s="116" customFormat="1" ht="15.75" customHeight="1">
      <x:c r="A57" s="44" t="n">
        <x:v>46073</x:v>
      </x:c>
      <x:c r="B57" s="67" t="n"/>
      <x:c r="C57" s="67" t="inlineStr">
        <x:is>
          <x:t xml:space="preserve">John </x:t>
        </x:is>
      </x:c>
      <x:c r="D57" s="67" t="inlineStr">
        <x:is>
          <x:t xml:space="preserve">Cold SMS</x:t>
        </x:is>
      </x:c>
      <x:c r="E57" s="67" t="inlineStr">
        <x:is>
          <x:t xml:space="preserve">Eddie</x:t>
        </x:is>
      </x:c>
      <x:c r="F57" s="67" t="inlineStr">
        <x:is>
          <x:t xml:space="preserve">No-Show</x:t>
        </x:is>
      </x:c>
      <x:c r="G57" s="73" t="n"/>
      <x:c r="H57" s="67" t="inlineStr">
        <x:is>
          <x:t xml:space="preserve">Max</x:t>
        </x:is>
      </x:c>
      <x:c r="I57" s="34" t="n"/>
      <x:c r="J57" s="34" t="n"/>
      <x:c r="K57" s="72" t="n"/>
      <x:c r="L57" s="34" t="n"/>
      <x:c r="M57" s="34" t="n"/>
      <x:c r="N57" s="34" t="n"/>
      <x:c r="O57" s="67" t="inlineStr">
        <x:is>
          <x:t xml:space="preserve">Davi</x:t>
        </x:is>
      </x:c>
      <x:c r="P57" t="inlineStr">
        <x:is>
          <x:t xml:space="preserve">2026-03-19T00:09:32.233Z</x:t>
        </x:is>
      </x:c>
      <x:c r="Q57" t="n">
        <x:v>3</x:v>
      </x:c>
      <x:c r="R57" t="n">
        <x:v>2026</x:v>
      </x:c>
    </x:row>
    <x:row r="58" s="116" customFormat="1" ht="15.75" customHeight="1">
      <x:c r="A58" s="44" t="n">
        <x:v>46073</x:v>
      </x:c>
      <x:c r="B58" s="67" t="n"/>
      <x:c r="C58" s="67" t="inlineStr">
        <x:is>
          <x:t xml:space="preserve">Ray Paterson</x:t>
        </x:is>
      </x:c>
      <x:c r="D58" s="67" t="inlineStr">
        <x:is>
          <x:t xml:space="preserve">Ads</x:t>
        </x:is>
      </x:c>
      <x:c r="E58" s="67" t="inlineStr">
        <x:is>
          <x:t xml:space="preserve">Ads - No Setter</x:t>
        </x:is>
      </x:c>
      <x:c r="F58" s="67" t="inlineStr">
        <x:is>
          <x:t xml:space="preserve">No-Show</x:t>
        </x:is>
      </x:c>
      <x:c r="G58" s="73" t="n"/>
      <x:c r="H58" s="67" t="inlineStr">
        <x:is>
          <x:t xml:space="preserve">Max</x:t>
        </x:is>
      </x:c>
      <x:c r="I58" s="34" t="n"/>
      <x:c r="J58" s="34" t="n"/>
      <x:c r="K58" s="72" t="n"/>
      <x:c r="L58" s="34" t="n"/>
      <x:c r="M58" s="34" t="n"/>
      <x:c r="N58" s="34" t="n"/>
      <x:c r="O58" s="67" t="inlineStr">
        <x:is>
          <x:t xml:space="preserve">Davi</x:t>
        </x:is>
      </x:c>
      <x:c r="P58" t="inlineStr">
        <x:is>
          <x:t xml:space="preserve">2026-03-19T00:09:32.233Z</x:t>
        </x:is>
      </x:c>
      <x:c r="Q58" t="n">
        <x:v>3</x:v>
      </x:c>
      <x:c r="R58" t="n">
        <x:v>2026</x:v>
      </x:c>
    </x:row>
    <x:row r="59" s="116" customFormat="1" ht="15.75" customHeight="1">
      <x:c r="A59" s="44" t="n">
        <x:v>46073</x:v>
      </x:c>
      <x:c r="B59" s="67" t="n"/>
      <x:c r="C59" s="67" t="inlineStr">
        <x:is>
          <x:t xml:space="preserve">Rex Bridges</x:t>
        </x:is>
      </x:c>
      <x:c r="D59" s="67" t="inlineStr">
        <x:is>
          <x:t xml:space="preserve">Cold SMS</x:t>
        </x:is>
      </x:c>
      <x:c r="E59" s="67" t="inlineStr">
        <x:is>
          <x:t xml:space="preserve">Ads - No Setter</x:t>
        </x:is>
      </x:c>
      <x:c r="F59" s="67" t="inlineStr">
        <x:is>
          <x:t xml:space="preserve">No-Show</x:t>
        </x:is>
      </x:c>
      <x:c r="G59" s="73" t="n"/>
      <x:c r="H59" s="67" t="inlineStr">
        <x:is>
          <x:t xml:space="preserve">Max</x:t>
        </x:is>
      </x:c>
      <x:c r="I59" s="34" t="n"/>
      <x:c r="J59" s="34" t="n"/>
      <x:c r="K59" s="72" t="n"/>
      <x:c r="O59" s="67" t="inlineStr">
        <x:is>
          <x:t xml:space="preserve">Davi</x:t>
        </x:is>
      </x:c>
      <x:c r="P59" t="inlineStr">
        <x:is>
          <x:t xml:space="preserve">2026-03-19T00:09:32.233Z</x:t>
        </x:is>
      </x:c>
      <x:c r="Q59" t="n">
        <x:v>3</x:v>
      </x:c>
      <x:c r="R59" t="n">
        <x:v>2026</x:v>
      </x:c>
    </x:row>
    <x:row r="60" s="116" customFormat="1" ht="15.75" customHeight="1">
      <x:c r="A60" s="44" t="n">
        <x:v>46073</x:v>
      </x:c>
      <x:c r="B60" s="34" t="n"/>
      <x:c r="C60" s="74" t="inlineStr">
        <x:is>
          <x:t xml:space="preserve">Shannon Swiscott</x:t>
        </x:is>
      </x:c>
      <x:c r="D60" s="34" t="inlineStr">
        <x:is>
          <x:t xml:space="preserve">Cold SMS</x:t>
        </x:is>
      </x:c>
      <x:c r="E60" s="34" t="inlineStr">
        <x:is>
          <x:t xml:space="preserve">Daniel</x:t>
        </x:is>
      </x:c>
      <x:c r="F60" s="34" t="inlineStr">
        <x:is>
          <x:t xml:space="preserve">No-Show</x:t>
        </x:is>
      </x:c>
      <x:c r="G60" s="73" t="n"/>
      <x:c r="H60" s="67" t="inlineStr">
        <x:is>
          <x:t xml:space="preserve">Max</x:t>
        </x:is>
      </x:c>
      <x:c r="I60" s="34" t="n"/>
      <x:c r="J60" s="34" t="n"/>
      <x:c r="K60" s="72" t="n"/>
      <x:c r="L60" s="34" t="n"/>
      <x:c r="M60" s="34" t="n"/>
      <x:c r="N60" s="34" t="inlineStr">
        <x:is>
          <x:t xml:space="preserve">https://fathom.video/share/e7yvA4HCFtdA38vKDmnsxaSEfyUqRmN4</x:t>
        </x:is>
      </x:c>
      <x:c r="O60" s="67" t="inlineStr">
        <x:is>
          <x:t xml:space="preserve">Davi</x:t>
        </x:is>
      </x:c>
      <x:c r="P60" s="34" t="inlineStr">
        <x:is>
          <x:t xml:space="preserve">2026-03-19T00:09:32.233Z</x:t>
        </x:is>
      </x:c>
      <x:c r="Q60" s="34" t="n">
        <x:v>3</x:v>
      </x:c>
      <x:c r="R60" s="34" t="n">
        <x:v>2026</x:v>
      </x:c>
      <x:c r="S60" s="34" t="n"/>
      <x:c r="T60" s="34" t="n"/>
      <x:c r="U60" s="34" t="n"/>
      <x:c r="V60" s="34" t="n"/>
      <x:c r="W60" s="34" t="n"/>
      <x:c r="X60" s="34" t="n"/>
      <x:c r="Y60" s="34" t="n"/>
      <x:c r="Z60" s="34" t="n"/>
      <x:c r="AA60" s="34" t="n"/>
      <x:c r="AB60" s="34" t="n"/>
      <x:c r="AC60" s="34" t="n"/>
      <x:c r="AD60" s="34" t="n"/>
      <x:c r="AE60" s="34" t="n"/>
      <x:c r="AF60" s="34" t="n"/>
      <x:c r="AG60" s="34" t="n"/>
      <x:c r="AH60" s="34" t="n"/>
      <x:c r="AI60" s="34" t="n"/>
      <x:c r="AJ60" s="34" t="n"/>
      <x:c r="AK60" s="34" t="n"/>
      <x:c r="AL60" s="34" t="n"/>
      <x:c r="AM60" s="34" t="n"/>
      <x:c r="AN60" s="34" t="n"/>
      <x:c r="AO60" s="34" t="n"/>
      <x:c r="AP60" s="34" t="n"/>
      <x:c r="AQ60" s="34" t="n"/>
      <x:c r="AR60" s="34" t="n"/>
    </x:row>
    <x:row r="61" s="116" customFormat="1" ht="15.75" customHeight="1">
      <x:c r="A61" s="44" t="n">
        <x:v>46072</x:v>
      </x:c>
      <x:c r="B61" s="34" t="n"/>
      <x:c r="C61" s="74" t="inlineStr">
        <x:is>
          <x:t xml:space="preserve">Chad Lange</x:t>
        </x:is>
      </x:c>
      <x:c r="D61" s="34" t="inlineStr">
        <x:is>
          <x:t xml:space="preserve">Ads</x:t>
        </x:is>
      </x:c>
      <x:c r="E61" s="34" t="inlineStr">
        <x:is>
          <x:t xml:space="preserve">Ads - No Setter</x:t>
        </x:is>
      </x:c>
      <x:c r="F61" s="34" t="inlineStr">
        <x:is>
          <x:t xml:space="preserve">Showed</x:t>
        </x:is>
      </x:c>
      <x:c r="G61" s="73" t="inlineStr">
        <x:is>
          <x:t xml:space="preserve">Closed</x:t>
        </x:is>
      </x:c>
      <x:c r="H61" s="67" t="inlineStr">
        <x:is>
          <x:t xml:space="preserve">Max</x:t>
        </x:is>
      </x:c>
      <x:c r="I61" s="34" t="n">
        <x:v>1000</x:v>
      </x:c>
      <x:c r="J61" s="34" t="n">
        <x:v>1000</x:v>
      </x:c>
      <x:c r="K61" s="72" t="n"/>
      <x:c r="L61" s="34" t="n"/>
      <x:c r="M61" s="34" t="n"/>
      <x:c r="N61" s="34" t="n"/>
      <x:c r="O61" s="67" t="inlineStr">
        <x:is>
          <x:t xml:space="preserve">Davi</x:t>
        </x:is>
      </x:c>
      <x:c r="P61" s="34" t="inlineStr">
        <x:is>
          <x:t xml:space="preserve">2026-03-19T00:09:32.232Z</x:t>
        </x:is>
      </x:c>
      <x:c r="Q61" s="34" t="n">
        <x:v>3</x:v>
      </x:c>
      <x:c r="R61" s="34" t="n">
        <x:v>2026</x:v>
      </x:c>
      <x:c r="S61" s="34" t="n"/>
      <x:c r="T61" s="34" t="n"/>
      <x:c r="U61" s="34" t="n"/>
      <x:c r="V61" s="34" t="n"/>
      <x:c r="W61" s="34" t="n"/>
      <x:c r="X61" s="34" t="n"/>
      <x:c r="Y61" s="34" t="n"/>
      <x:c r="Z61" s="34" t="n"/>
      <x:c r="AA61" s="34" t="n"/>
      <x:c r="AB61" s="34" t="n"/>
      <x:c r="AC61" s="34" t="n"/>
      <x:c r="AD61" s="34" t="n"/>
      <x:c r="AE61" s="34" t="n"/>
      <x:c r="AF61" s="34" t="n"/>
      <x:c r="AG61" s="34" t="n"/>
      <x:c r="AH61" s="34" t="n"/>
      <x:c r="AI61" s="34" t="n"/>
      <x:c r="AJ61" s="34" t="n"/>
      <x:c r="AK61" s="34" t="n"/>
      <x:c r="AL61" s="34" t="n"/>
      <x:c r="AM61" s="34" t="n"/>
      <x:c r="AN61" s="34" t="n"/>
      <x:c r="AO61" s="34" t="n"/>
      <x:c r="AP61" s="34" t="n"/>
      <x:c r="AQ61" s="34" t="n"/>
      <x:c r="AR61" s="34" t="n"/>
    </x:row>
    <x:row r="62" s="116" customFormat="1" ht="15.75" customHeight="1">
      <x:c r="A62" s="44" t="n">
        <x:v>46072</x:v>
      </x:c>
      <x:c r="B62" s="34" t="n"/>
      <x:c r="C62" s="74" t="inlineStr">
        <x:is>
          <x:t xml:space="preserve">Doug</x:t>
        </x:is>
      </x:c>
      <x:c r="D62" s="34" t="inlineStr">
        <x:is>
          <x:t xml:space="preserve">Cold SMS</x:t>
        </x:is>
      </x:c>
      <x:c r="E62" s="34" t="inlineStr">
        <x:is>
          <x:t xml:space="preserve">Randy</x:t>
        </x:is>
      </x:c>
      <x:c r="F62" s="34" t="inlineStr">
        <x:is>
          <x:t xml:space="preserve">No-Show</x:t>
        </x:is>
      </x:c>
      <x:c r="G62" s="73" t="n"/>
      <x:c r="H62" s="67" t="inlineStr">
        <x:is>
          <x:t xml:space="preserve">Max</x:t>
        </x:is>
      </x:c>
      <x:c r="I62" s="34" t="n"/>
      <x:c r="J62" s="34" t="n"/>
      <x:c r="K62" s="72" t="n"/>
      <x:c r="L62" s="34" t="n"/>
      <x:c r="M62" s="34" t="n"/>
      <x:c r="N62" s="34" t="n"/>
      <x:c r="O62" s="67" t="inlineStr">
        <x:is>
          <x:t xml:space="preserve">Davi</x:t>
        </x:is>
      </x:c>
      <x:c r="P62" s="34" t="n"/>
      <x:c r="Q62" s="34" t="n">
        <x:v>2</x:v>
      </x:c>
      <x:c r="R62" s="34" t="n">
        <x:v>2026</x:v>
      </x:c>
      <x:c r="S62" s="34" t="n"/>
      <x:c r="T62" s="34" t="n"/>
      <x:c r="U62" s="34" t="n"/>
      <x:c r="V62" s="34" t="n"/>
      <x:c r="W62" s="34" t="n"/>
      <x:c r="X62" s="34" t="n"/>
      <x:c r="Y62" s="34" t="n"/>
      <x:c r="Z62" s="34" t="n"/>
      <x:c r="AA62" s="34" t="n"/>
      <x:c r="AB62" s="34" t="n"/>
      <x:c r="AC62" s="34" t="n"/>
      <x:c r="AD62" s="34" t="n"/>
      <x:c r="AE62" s="34" t="n"/>
      <x:c r="AF62" s="34" t="n"/>
      <x:c r="AG62" s="34" t="n"/>
      <x:c r="AH62" s="34" t="n"/>
      <x:c r="AI62" s="34" t="n"/>
      <x:c r="AJ62" s="34" t="n"/>
      <x:c r="AK62" s="34" t="n"/>
      <x:c r="AL62" s="34" t="n"/>
      <x:c r="AM62" s="34" t="n"/>
      <x:c r="AN62" s="34" t="n"/>
      <x:c r="AO62" s="34" t="n"/>
      <x:c r="AP62" s="34" t="n"/>
      <x:c r="AQ62" s="34" t="n"/>
      <x:c r="AR62" s="34" t="n"/>
    </x:row>
    <x:row r="63" s="116" customFormat="1" ht="15.75" customHeight="1">
      <x:c r="A63" s="44" t="n">
        <x:v>46072</x:v>
      </x:c>
      <x:c r="B63" s="34" t="n"/>
      <x:c r="C63" s="74" t="inlineStr">
        <x:is>
          <x:t xml:space="preserve">Greg Cutting</x:t>
        </x:is>
      </x:c>
      <x:c r="D63" s="67" t="inlineStr">
        <x:is>
          <x:t xml:space="preserve">Cold SMS</x:t>
        </x:is>
      </x:c>
      <x:c r="E63" s="67" t="inlineStr">
        <x:is>
          <x:t xml:space="preserve">Daniel</x:t>
        </x:is>
      </x:c>
      <x:c r="F63" s="67" t="inlineStr">
        <x:is>
          <x:t xml:space="preserve">Showed</x:t>
        </x:is>
      </x:c>
      <x:c r="G63" s="73" t="inlineStr">
        <x:is>
          <x:t xml:space="preserve">Follow-up required</x:t>
        </x:is>
      </x:c>
      <x:c r="H63" s="67" t="inlineStr">
        <x:is>
          <x:t xml:space="preserve">Max</x:t>
        </x:is>
      </x:c>
      <x:c r="I63" s="34" t="n"/>
      <x:c r="J63" s="34" t="n"/>
      <x:c r="K63" s="72" t="n"/>
      <x:c r="L63" s="34" t="n"/>
      <x:c r="M63" s="34" t="n"/>
      <x:c r="N63" s="34" t="inlineStr">
        <x:is>
          <x:t xml:space="preserve">https://fathom.video/share/PVNsyR1EmpBCUDKx6omuUDpFdGH2V7-m</x:t>
        </x:is>
      </x:c>
      <x:c r="O63" s="67" t="inlineStr">
        <x:is>
          <x:t xml:space="preserve">Davi</x:t>
        </x:is>
      </x:c>
      <x:c r="P63" s="34" t="n"/>
      <x:c r="Q63" s="34" t="n">
        <x:v>2</x:v>
      </x:c>
      <x:c r="R63" s="34" t="n">
        <x:v>2026</x:v>
      </x:c>
      <x:c r="S63" s="34" t="n"/>
      <x:c r="T63" s="34" t="n"/>
      <x:c r="U63" s="34" t="n"/>
      <x:c r="V63" s="34" t="n"/>
      <x:c r="W63" s="34" t="n"/>
      <x:c r="X63" s="34" t="n"/>
      <x:c r="Y63" s="34" t="n"/>
      <x:c r="Z63" s="34" t="n"/>
      <x:c r="AA63" s="34" t="n"/>
      <x:c r="AB63" s="34" t="n"/>
      <x:c r="AC63" s="34" t="n"/>
      <x:c r="AD63" s="34" t="n"/>
      <x:c r="AE63" s="34" t="n"/>
      <x:c r="AF63" s="34" t="n"/>
      <x:c r="AG63" s="34" t="n"/>
      <x:c r="AH63" s="34" t="n"/>
      <x:c r="AI63" s="34" t="n"/>
      <x:c r="AJ63" s="34" t="n"/>
      <x:c r="AK63" s="34" t="n"/>
      <x:c r="AL63" s="34" t="n"/>
      <x:c r="AM63" s="34" t="n"/>
      <x:c r="AN63" s="34" t="n"/>
      <x:c r="AO63" s="34" t="n"/>
      <x:c r="AP63" s="34" t="n"/>
      <x:c r="AQ63" s="34" t="n"/>
      <x:c r="AR63" s="34" t="n"/>
    </x:row>
    <x:row r="64" s="116" customFormat="1" ht="15.75" customHeight="1">
      <x:c r="A64" s="44" t="n">
        <x:v>46072</x:v>
      </x:c>
      <x:c r="B64" s="34" t="n"/>
      <x:c r="C64" s="74" t="inlineStr">
        <x:is>
          <x:t xml:space="preserve">Isaac</x:t>
        </x:is>
      </x:c>
      <x:c r="D64" s="67" t="inlineStr">
        <x:is>
          <x:t xml:space="preserve">Cold SMS</x:t>
        </x:is>
      </x:c>
      <x:c r="E64" s="67" t="inlineStr">
        <x:is>
          <x:t xml:space="preserve">Eddie</x:t>
        </x:is>
      </x:c>
      <x:c r="F64" s="67" t="inlineStr">
        <x:is>
          <x:t xml:space="preserve">No-Show</x:t>
        </x:is>
      </x:c>
      <x:c r="G64" s="73" t="n"/>
      <x:c r="H64" s="67" t="inlineStr">
        <x:is>
          <x:t xml:space="preserve">Max</x:t>
        </x:is>
      </x:c>
      <x:c r="I64" s="34" t="n"/>
      <x:c r="J64" s="34" t="n"/>
      <x:c r="K64" s="72" t="n"/>
      <x:c r="L64" s="34" t="inlineStr">
        <x:is>
          <x:t xml:space="preserve">I think i missed this - my fault</x:t>
        </x:is>
      </x:c>
      <x:c r="M64" s="34" t="n"/>
      <x:c r="N64" s="34" t="n"/>
      <x:c r="O64" s="67" t="inlineStr">
        <x:is>
          <x:t xml:space="preserve">Davi</x:t>
        </x:is>
      </x:c>
      <x:c r="P64" s="34" t="n"/>
      <x:c r="Q64" s="34" t="n">
        <x:v>2</x:v>
      </x:c>
      <x:c r="R64" s="34" t="n">
        <x:v>2026</x:v>
      </x:c>
      <x:c r="S64" s="34" t="n"/>
      <x:c r="T64" s="34" t="n"/>
      <x:c r="U64" s="34" t="n"/>
      <x:c r="V64" s="34" t="n"/>
      <x:c r="W64" s="34" t="n"/>
      <x:c r="X64" s="34" t="n"/>
      <x:c r="Y64" s="34" t="n"/>
      <x:c r="Z64" s="34" t="n"/>
      <x:c r="AA64" s="34" t="n"/>
      <x:c r="AB64" s="34" t="n"/>
      <x:c r="AC64" s="34" t="n"/>
      <x:c r="AD64" s="34" t="n"/>
      <x:c r="AE64" s="34" t="n"/>
      <x:c r="AF64" s="34" t="n"/>
      <x:c r="AG64" s="34" t="n"/>
      <x:c r="AH64" s="34" t="n"/>
      <x:c r="AI64" s="34" t="n"/>
      <x:c r="AJ64" s="34" t="n"/>
      <x:c r="AK64" s="34" t="n"/>
      <x:c r="AL64" s="34" t="n"/>
      <x:c r="AM64" s="34" t="n"/>
      <x:c r="AN64" s="34" t="n"/>
      <x:c r="AO64" s="34" t="n"/>
      <x:c r="AP64" s="34" t="n"/>
      <x:c r="AQ64" s="34" t="n"/>
      <x:c r="AR64" s="34" t="n"/>
    </x:row>
    <x:row r="65" s="116" customFormat="1" ht="15.75" customHeight="1">
      <x:c r="A65" s="44" t="n">
        <x:v>46072</x:v>
      </x:c>
      <x:c r="B65" s="34" t="n"/>
      <x:c r="C65" s="74" t="inlineStr">
        <x:is>
          <x:t xml:space="preserve">Stace</x:t>
        </x:is>
      </x:c>
      <x:c r="D65" s="34" t="inlineStr">
        <x:is>
          <x:t xml:space="preserve">Ads</x:t>
        </x:is>
      </x:c>
      <x:c r="E65" s="34" t="inlineStr">
        <x:is>
          <x:t xml:space="preserve">Ads - No Setter</x:t>
        </x:is>
      </x:c>
      <x:c r="F65" s="34" t="inlineStr">
        <x:is>
          <x:t xml:space="preserve">Showed</x:t>
        </x:is>
      </x:c>
      <x:c r="G65" s="73" t="inlineStr">
        <x:is>
          <x:t xml:space="preserve">No Closed</x:t>
        </x:is>
      </x:c>
      <x:c r="H65" s="67" t="inlineStr">
        <x:is>
          <x:t xml:space="preserve">Max</x:t>
        </x:is>
      </x:c>
      <x:c r="I65" s="34" t="n"/>
      <x:c r="J65" s="34" t="n"/>
      <x:c r="K65" s="72" t="n"/>
      <x:c r="L65" s="34" t="inlineStr">
        <x:is>
          <x:t xml:space="preserve">This was like a 2 second chat bc he was being a dickhead.</x:t>
        </x:is>
      </x:c>
      <x:c r="M65" s="34" t="n"/>
      <x:c r="N65" s="34" t="inlineStr">
        <x:is>
          <x:t xml:space="preserve">https://fathom.video/share/wA3k8ey5BUQ7R3kj-wwv8K1zRhPGUG9Q</x:t>
        </x:is>
      </x:c>
      <x:c r="O65" s="67" t="inlineStr">
        <x:is>
          <x:t xml:space="preserve">Davi</x:t>
        </x:is>
      </x:c>
      <x:c r="P65" s="34" t="n"/>
      <x:c r="Q65" s="34" t="n">
        <x:v>2</x:v>
      </x:c>
      <x:c r="R65" s="34" t="n">
        <x:v>2026</x:v>
      </x:c>
      <x:c r="S65" s="75" t="n"/>
      <x:c r="T65" s="34" t="n"/>
      <x:c r="U65" s="34" t="n"/>
      <x:c r="V65" s="34" t="n"/>
      <x:c r="W65" s="34" t="n"/>
      <x:c r="X65" s="34" t="n"/>
      <x:c r="Y65" s="34" t="n"/>
      <x:c r="Z65" s="34" t="n"/>
      <x:c r="AA65" s="34" t="n"/>
      <x:c r="AB65" s="34" t="n"/>
      <x:c r="AC65" s="34" t="n"/>
      <x:c r="AD65" s="34" t="n"/>
      <x:c r="AE65" s="34" t="n"/>
      <x:c r="AF65" s="34" t="n"/>
      <x:c r="AG65" s="34" t="n"/>
      <x:c r="AH65" s="34" t="n"/>
      <x:c r="AI65" s="34" t="n"/>
      <x:c r="AJ65" s="34" t="n"/>
      <x:c r="AK65" s="34" t="n"/>
      <x:c r="AL65" s="34" t="n"/>
      <x:c r="AM65" s="34" t="n"/>
      <x:c r="AN65" s="34" t="n"/>
      <x:c r="AO65" s="34" t="n"/>
      <x:c r="AP65" s="34" t="n"/>
      <x:c r="AQ65" s="34" t="n"/>
      <x:c r="AR65" s="34" t="n"/>
    </x:row>
    <x:row r="66" s="116" customFormat="1" ht="15.75" customHeight="1">
      <x:c r="A66" s="44" t="n">
        <x:v>46072</x:v>
      </x:c>
      <x:c r="B66" s="34" t="n"/>
      <x:c r="C66" s="74" t="inlineStr">
        <x:is>
          <x:t xml:space="preserve">William Baker</x:t>
        </x:is>
      </x:c>
      <x:c r="D66" s="34" t="inlineStr">
        <x:is>
          <x:t xml:space="preserve">Cold SMS</x:t>
        </x:is>
      </x:c>
      <x:c r="E66" s="34" t="inlineStr">
        <x:is>
          <x:t xml:space="preserve">Randy</x:t>
        </x:is>
      </x:c>
      <x:c r="F66" s="34" t="inlineStr">
        <x:is>
          <x:t xml:space="preserve">Showed</x:t>
        </x:is>
      </x:c>
      <x:c r="G66" s="73" t="inlineStr">
        <x:is>
          <x:t xml:space="preserve">Closed</x:t>
        </x:is>
      </x:c>
      <x:c r="H66" s="67" t="inlineStr">
        <x:is>
          <x:t xml:space="preserve">Max</x:t>
        </x:is>
      </x:c>
      <x:c r="I66" s="34" t="n">
        <x:v>100</x:v>
      </x:c>
      <x:c r="J66" s="34" t="n">
        <x:v>4800</x:v>
      </x:c>
      <x:c r="K66" s="72" t="n"/>
      <x:c r="L66" s="34" t="n"/>
      <x:c r="M66" s="34" t="n"/>
      <x:c r="N66" s="34" t="inlineStr">
        <x:is>
          <x:t xml:space="preserve">https://fathom.video/share/uXaKXFZBvB5uswqssvM2752snegYLfey</x:t>
        </x:is>
      </x:c>
      <x:c r="O66" s="67" t="inlineStr">
        <x:is>
          <x:t xml:space="preserve">Davi</x:t>
        </x:is>
      </x:c>
      <x:c r="P66" s="34" t="inlineStr">
        <x:is>
          <x:t xml:space="preserve">2026-03-19T00:09:32.232Z</x:t>
        </x:is>
      </x:c>
      <x:c r="Q66" s="34" t="n">
        <x:v>3</x:v>
      </x:c>
      <x:c r="R66" s="34" t="n">
        <x:v>2026</x:v>
      </x:c>
      <x:c r="S66" s="75" t="n"/>
      <x:c r="T66" s="34" t="n"/>
      <x:c r="U66" s="34" t="n"/>
      <x:c r="V66" s="34" t="n"/>
      <x:c r="W66" s="34" t="n"/>
      <x:c r="X66" s="34" t="n"/>
      <x:c r="Y66" s="34" t="n"/>
      <x:c r="Z66" s="34" t="n"/>
      <x:c r="AA66" s="34" t="n"/>
      <x:c r="AB66" s="34" t="n"/>
      <x:c r="AC66" s="34" t="n"/>
      <x:c r="AD66" s="34" t="n"/>
      <x:c r="AE66" s="34" t="n"/>
      <x:c r="AF66" s="34" t="n"/>
      <x:c r="AG66" s="34" t="n"/>
      <x:c r="AH66" s="34" t="n"/>
      <x:c r="AI66" s="34" t="n"/>
      <x:c r="AJ66" s="34" t="n"/>
      <x:c r="AK66" s="34" t="n"/>
      <x:c r="AL66" s="34" t="n"/>
      <x:c r="AM66" s="34" t="n"/>
      <x:c r="AN66" s="34" t="n"/>
      <x:c r="AO66" s="34" t="n"/>
      <x:c r="AP66" s="34" t="n"/>
      <x:c r="AQ66" s="34" t="n"/>
      <x:c r="AR66" s="34" t="n"/>
    </x:row>
    <x:row r="67" s="116" customFormat="1" ht="15.75" customHeight="1">
      <x:c r="A67" s="44" t="n">
        <x:v>46071</x:v>
      </x:c>
      <x:c r="B67" s="34" t="n"/>
      <x:c r="C67" s="74" t="inlineStr">
        <x:is>
          <x:t xml:space="preserve">Dmj Contractors</x:t>
        </x:is>
      </x:c>
      <x:c r="D67" s="34" t="inlineStr">
        <x:is>
          <x:t xml:space="preserve">Cold SMS</x:t>
        </x:is>
      </x:c>
      <x:c r="E67" s="34" t="inlineStr">
        <x:is>
          <x:t xml:space="preserve">Eddie</x:t>
        </x:is>
      </x:c>
      <x:c r="F67" s="34" t="inlineStr">
        <x:is>
          <x:t xml:space="preserve">Rescheduled</x:t>
        </x:is>
      </x:c>
      <x:c r="G67" s="73" t="n"/>
      <x:c r="H67" s="67" t="inlineStr">
        <x:is>
          <x:t xml:space="preserve">Max</x:t>
        </x:is>
      </x:c>
      <x:c r="I67" s="34" t="n"/>
      <x:c r="J67" s="34" t="n"/>
      <x:c r="K67" s="72" t="b">
        <x:v>0</x:v>
      </x:c>
      <x:c r="L67" s="34" t="n"/>
      <x:c r="M67" s="34" t="n"/>
      <x:c r="N67" s="34" t="inlineStr">
        <x:is>
          <x:t xml:space="preserve">https://fathom.video/share/qRuxmqty6QboJst3KF9Lxik4eZtZNAz4</x:t>
        </x:is>
      </x:c>
      <x:c r="O67" s="67" t="inlineStr">
        <x:is>
          <x:t xml:space="preserve">Davi</x:t>
        </x:is>
      </x:c>
      <x:c r="P67" s="34" t="n"/>
      <x:c r="Q67" s="34" t="n">
        <x:v>2</x:v>
      </x:c>
      <x:c r="R67" s="34" t="n">
        <x:v>2026</x:v>
      </x:c>
      <x:c r="S67" s="75" t="n"/>
      <x:c r="T67" s="34" t="n"/>
      <x:c r="U67" s="34" t="n"/>
      <x:c r="V67" s="34" t="n"/>
      <x:c r="W67" s="34" t="n"/>
      <x:c r="X67" s="34" t="n"/>
      <x:c r="Y67" s="34" t="n"/>
      <x:c r="Z67" s="34" t="n"/>
      <x:c r="AA67" s="34" t="n"/>
      <x:c r="AB67" s="34" t="n"/>
      <x:c r="AC67" s="34" t="n"/>
      <x:c r="AD67" s="34" t="n"/>
      <x:c r="AE67" s="34" t="n"/>
      <x:c r="AF67" s="34" t="n"/>
      <x:c r="AG67" s="34" t="n"/>
      <x:c r="AH67" s="34" t="n"/>
      <x:c r="AI67" s="34" t="n"/>
      <x:c r="AJ67" s="34" t="n"/>
      <x:c r="AK67" s="34" t="n"/>
      <x:c r="AL67" s="34" t="n"/>
      <x:c r="AM67" s="34" t="n"/>
      <x:c r="AN67" s="34" t="n"/>
      <x:c r="AO67" s="34" t="n"/>
      <x:c r="AP67" s="34" t="n"/>
      <x:c r="AQ67" s="34" t="n"/>
      <x:c r="AR67" s="34" t="n"/>
    </x:row>
    <x:row r="68" s="116" customFormat="1" ht="15.75" customHeight="1">
      <x:c r="A68" s="44" t="n">
        <x:v>46071</x:v>
      </x:c>
      <x:c r="B68" s="34" t="n"/>
      <x:c r="C68" s="74" t="inlineStr">
        <x:is>
          <x:t xml:space="preserve">Lewis </x:t>
        </x:is>
      </x:c>
      <x:c r="D68" s="34" t="inlineStr">
        <x:is>
          <x:t xml:space="preserve">Cold SMS</x:t>
        </x:is>
      </x:c>
      <x:c r="E68" s="34" t="inlineStr">
        <x:is>
          <x:t xml:space="preserve">Eddie</x:t>
        </x:is>
      </x:c>
      <x:c r="F68" s="34" t="inlineStr">
        <x:is>
          <x:t xml:space="preserve">Cancelled/Rejected</x:t>
        </x:is>
      </x:c>
      <x:c r="G68" s="73" t="n"/>
      <x:c r="H68" s="67" t="inlineStr">
        <x:is>
          <x:t xml:space="preserve">Max</x:t>
        </x:is>
      </x:c>
      <x:c r="I68" s="34" t="n"/>
      <x:c r="J68" s="34" t="n"/>
      <x:c r="K68" s="72" t="b">
        <x:v>0</x:v>
      </x:c>
      <x:c r="L68" s="34" t="n"/>
      <x:c r="M68" s="34" t="n"/>
      <x:c r="N68" s="34" t="n"/>
      <x:c r="O68" s="67" t="inlineStr">
        <x:is>
          <x:t xml:space="preserve">Davi</x:t>
        </x:is>
      </x:c>
      <x:c r="P68" s="34" t="n"/>
      <x:c r="Q68" s="34" t="n">
        <x:v>2</x:v>
      </x:c>
      <x:c r="R68" s="34" t="n">
        <x:v>2026</x:v>
      </x:c>
      <x:c r="S68" s="34" t="n"/>
      <x:c r="T68" s="34" t="n"/>
      <x:c r="U68" s="34" t="n"/>
      <x:c r="V68" s="34" t="n"/>
      <x:c r="W68" s="34" t="n"/>
      <x:c r="X68" s="34" t="n"/>
      <x:c r="Y68" s="34" t="n"/>
      <x:c r="Z68" s="34" t="n"/>
      <x:c r="AA68" s="34" t="n"/>
      <x:c r="AB68" s="34" t="n"/>
      <x:c r="AC68" s="34" t="n"/>
      <x:c r="AD68" s="34" t="n"/>
      <x:c r="AE68" s="34" t="n"/>
      <x:c r="AF68" s="34" t="n"/>
      <x:c r="AG68" s="34" t="n"/>
      <x:c r="AH68" s="34" t="n"/>
      <x:c r="AI68" s="34" t="n"/>
      <x:c r="AJ68" s="34" t="n"/>
      <x:c r="AK68" s="34" t="n"/>
      <x:c r="AL68" s="34" t="n"/>
      <x:c r="AM68" s="34" t="n"/>
      <x:c r="AN68" s="34" t="n"/>
      <x:c r="AO68" s="34" t="n"/>
      <x:c r="AP68" s="34" t="n"/>
      <x:c r="AQ68" s="34" t="n"/>
      <x:c r="AR68" s="34" t="n"/>
    </x:row>
    <x:row r="69" s="116" customFormat="1" ht="15.75" customHeight="1">
      <x:c r="A69" s="44" t="n">
        <x:v>46071</x:v>
      </x:c>
      <x:c r="B69" s="34" t="n"/>
      <x:c r="C69" s="74" t="inlineStr">
        <x:is>
          <x:t xml:space="preserve">Matthew </x:t>
        </x:is>
      </x:c>
      <x:c r="D69" s="34" t="inlineStr">
        <x:is>
          <x:t xml:space="preserve">Cold SMS</x:t>
        </x:is>
      </x:c>
      <x:c r="E69" s="34" t="inlineStr">
        <x:is>
          <x:t xml:space="preserve">Randy</x:t>
        </x:is>
      </x:c>
      <x:c r="F69" s="34" t="inlineStr">
        <x:is>
          <x:t xml:space="preserve">Showed</x:t>
        </x:is>
      </x:c>
      <x:c r="G69" s="73" t="inlineStr">
        <x:is>
          <x:t xml:space="preserve">No Closed</x:t>
        </x:is>
      </x:c>
      <x:c r="H69" s="67" t="inlineStr">
        <x:is>
          <x:t xml:space="preserve">Max</x:t>
        </x:is>
      </x:c>
      <x:c r="I69" s="34" t="n"/>
      <x:c r="J69" s="34" t="n"/>
      <x:c r="K69" s="72" t="b">
        <x:v>0</x:v>
      </x:c>
      <x:c r="L69" s="34" t="n"/>
      <x:c r="M69" s="34" t="n"/>
      <x:c r="N69" s="34" t="inlineStr">
        <x:is>
          <x:t xml:space="preserve">https://fathom.video/share/Pis3K2AXHXBub8rQbK_e1hS8-s3xhhFF</x:t>
        </x:is>
      </x:c>
      <x:c r="O69" s="67" t="inlineStr">
        <x:is>
          <x:t xml:space="preserve">Davi</x:t>
        </x:is>
      </x:c>
      <x:c r="P69" s="34" t="n"/>
      <x:c r="Q69" s="34" t="n">
        <x:v>2</x:v>
      </x:c>
      <x:c r="R69" s="34" t="n">
        <x:v>2026</x:v>
      </x:c>
      <x:c r="S69" s="34" t="n"/>
      <x:c r="T69" s="34" t="n"/>
      <x:c r="U69" s="34" t="n"/>
      <x:c r="V69" s="34" t="n"/>
      <x:c r="W69" s="34" t="n"/>
      <x:c r="X69" s="34" t="n"/>
      <x:c r="Y69" s="34" t="n"/>
      <x:c r="Z69" s="34" t="n"/>
      <x:c r="AA69" s="34" t="n"/>
      <x:c r="AB69" s="34" t="n"/>
      <x:c r="AC69" s="34" t="n"/>
      <x:c r="AD69" s="34" t="n"/>
      <x:c r="AE69" s="34" t="n"/>
      <x:c r="AF69" s="34" t="n"/>
      <x:c r="AG69" s="34" t="n"/>
      <x:c r="AH69" s="34" t="n"/>
      <x:c r="AI69" s="34" t="n"/>
      <x:c r="AJ69" s="34" t="n"/>
      <x:c r="AK69" s="34" t="n"/>
      <x:c r="AL69" s="34" t="n"/>
      <x:c r="AM69" s="34" t="n"/>
      <x:c r="AN69" s="34" t="n"/>
      <x:c r="AO69" s="34" t="n"/>
      <x:c r="AP69" s="34" t="n"/>
      <x:c r="AQ69" s="34" t="n"/>
      <x:c r="AR69" s="34" t="n"/>
    </x:row>
    <x:row r="70" s="116" customFormat="1" ht="15.75" customHeight="1">
      <x:c r="A70" s="44" t="n">
        <x:v>46071</x:v>
      </x:c>
      <x:c r="B70" s="34" t="n"/>
      <x:c r="C70" s="34" t="inlineStr">
        <x:is>
          <x:t xml:space="preserve">Mr Ruggerio</x:t>
        </x:is>
      </x:c>
      <x:c r="D70" s="34" t="inlineStr">
        <x:is>
          <x:t xml:space="preserve">Cold SMS</x:t>
        </x:is>
      </x:c>
      <x:c r="E70" s="34" t="inlineStr">
        <x:is>
          <x:t xml:space="preserve">Eddie</x:t>
        </x:is>
      </x:c>
      <x:c r="F70" s="34" t="inlineStr">
        <x:is>
          <x:t xml:space="preserve">Rescheduled</x:t>
        </x:is>
      </x:c>
      <x:c r="G70" s="73" t="n"/>
      <x:c r="H70" s="67" t="inlineStr">
        <x:is>
          <x:t xml:space="preserve">Max</x:t>
        </x:is>
      </x:c>
      <x:c r="I70" s="34" t="n"/>
      <x:c r="J70" s="34" t="n"/>
      <x:c r="K70" s="72" t="b">
        <x:v>0</x:v>
      </x:c>
      <x:c r="L70" s="34" t="n"/>
      <x:c r="M70" s="34" t="n"/>
      <x:c r="N70" s="34" t="n"/>
      <x:c r="O70" s="67" t="inlineStr">
        <x:is>
          <x:t xml:space="preserve">Davi</x:t>
        </x:is>
      </x:c>
      <x:c r="P70" s="34" t="n"/>
      <x:c r="Q70" s="34" t="n">
        <x:v>2</x:v>
      </x:c>
      <x:c r="R70" s="34" t="n">
        <x:v>2026</x:v>
      </x:c>
      <x:c r="S70" s="34" t="n"/>
      <x:c r="T70" s="34" t="n"/>
      <x:c r="U70" s="34" t="n"/>
      <x:c r="V70" s="34" t="n"/>
      <x:c r="W70" s="34" t="n"/>
      <x:c r="X70" s="34" t="n"/>
      <x:c r="Y70" s="34" t="n"/>
      <x:c r="Z70" s="34" t="n"/>
      <x:c r="AA70" s="34" t="n"/>
      <x:c r="AB70" s="34" t="n"/>
      <x:c r="AC70" s="34" t="n"/>
      <x:c r="AD70" s="34" t="n"/>
      <x:c r="AE70" s="34" t="n"/>
      <x:c r="AF70" s="34" t="n"/>
      <x:c r="AG70" s="34" t="n"/>
      <x:c r="AH70" s="34" t="n"/>
      <x:c r="AI70" s="34" t="n"/>
      <x:c r="AJ70" s="34" t="n"/>
      <x:c r="AK70" s="34" t="n"/>
      <x:c r="AL70" s="34" t="n"/>
      <x:c r="AM70" s="34" t="n"/>
      <x:c r="AN70" s="34" t="n"/>
      <x:c r="AO70" s="34" t="n"/>
      <x:c r="AP70" s="34" t="n"/>
      <x:c r="AQ70" s="34" t="n"/>
      <x:c r="AR70" s="34" t="n"/>
    </x:row>
    <x:row r="71" s="116" customFormat="1" ht="15.75" customHeight="1">
      <x:c r="A71" s="44" t="n">
        <x:v>46071</x:v>
      </x:c>
      <x:c r="B71" s="34" t="n"/>
      <x:c r="C71" s="34" t="inlineStr">
        <x:is>
          <x:t xml:space="preserve">Ted Helton</x:t>
        </x:is>
      </x:c>
      <x:c r="D71" s="34" t="inlineStr">
        <x:is>
          <x:t xml:space="preserve">Cold SMS</x:t>
        </x:is>
      </x:c>
      <x:c r="E71" s="34" t="inlineStr">
        <x:is>
          <x:t xml:space="preserve">Eddie</x:t>
        </x:is>
      </x:c>
      <x:c r="F71" s="34" t="inlineStr">
        <x:is>
          <x:t xml:space="preserve">Showed</x:t>
        </x:is>
      </x:c>
      <x:c r="G71" s="73" t="inlineStr">
        <x:is>
          <x:t xml:space="preserve">No Closed</x:t>
        </x:is>
      </x:c>
      <x:c r="H71" s="67" t="inlineStr">
        <x:is>
          <x:t xml:space="preserve">Max</x:t>
        </x:is>
      </x:c>
      <x:c r="I71" s="34" t="n"/>
      <x:c r="J71" s="34" t="n"/>
      <x:c r="K71" s="72" t="b">
        <x:v>0</x:v>
      </x:c>
      <x:c r="L71" s="34" t="n"/>
      <x:c r="M71" s="34" t="n"/>
      <x:c r="N71" s="34" t="n"/>
      <x:c r="O71" s="67" t="inlineStr">
        <x:is>
          <x:t xml:space="preserve">Davi</x:t>
        </x:is>
      </x:c>
      <x:c r="P71" s="34" t="n"/>
      <x:c r="Q71" s="34" t="n">
        <x:v>2</x:v>
      </x:c>
      <x:c r="R71" s="34" t="n">
        <x:v>2026</x:v>
      </x:c>
      <x:c r="S71" s="34" t="n"/>
      <x:c r="T71" s="34" t="n"/>
      <x:c r="U71" s="34" t="n"/>
      <x:c r="V71" s="34" t="n"/>
      <x:c r="W71" s="34" t="n"/>
      <x:c r="X71" s="34" t="n"/>
      <x:c r="Y71" s="34" t="n"/>
      <x:c r="Z71" s="34" t="n"/>
      <x:c r="AA71" s="34" t="n"/>
      <x:c r="AB71" s="34" t="n"/>
      <x:c r="AC71" s="34" t="n"/>
      <x:c r="AD71" s="34" t="n"/>
      <x:c r="AE71" s="34" t="n"/>
      <x:c r="AF71" s="34" t="n"/>
      <x:c r="AG71" s="34" t="n"/>
      <x:c r="AH71" s="34" t="n"/>
      <x:c r="AI71" s="34" t="n"/>
      <x:c r="AJ71" s="34" t="n"/>
      <x:c r="AK71" s="34" t="n"/>
      <x:c r="AL71" s="34" t="n"/>
      <x:c r="AM71" s="34" t="n"/>
      <x:c r="AN71" s="34" t="n"/>
      <x:c r="AO71" s="34" t="n"/>
      <x:c r="AP71" s="34" t="n"/>
      <x:c r="AQ71" s="34" t="n"/>
      <x:c r="AR71" s="34" t="n"/>
    </x:row>
    <x:row r="72" s="116" customFormat="1" ht="15.75" customHeight="1">
      <x:c r="A72" s="44" t="n">
        <x:v>46069</x:v>
      </x:c>
      <x:c r="B72" s="48" t="n"/>
      <x:c r="C72" s="74" t="inlineStr">
        <x:is>
          <x:t xml:space="preserve">Derek Brigade </x:t>
        </x:is>
      </x:c>
      <x:c r="D72" s="34" t="inlineStr">
        <x:is>
          <x:t xml:space="preserve">Cold SMS</x:t>
        </x:is>
      </x:c>
      <x:c r="E72" s="34" t="inlineStr">
        <x:is>
          <x:t xml:space="preserve">Randy</x:t>
        </x:is>
      </x:c>
      <x:c r="F72" s="34" t="inlineStr">
        <x:is>
          <x:t xml:space="preserve">Showed</x:t>
        </x:is>
      </x:c>
      <x:c r="G72" s="73" t="inlineStr">
        <x:is>
          <x:t xml:space="preserve">No Closed</x:t>
        </x:is>
      </x:c>
      <x:c r="H72" s="67" t="inlineStr">
        <x:is>
          <x:t xml:space="preserve">Max</x:t>
        </x:is>
      </x:c>
      <x:c r="I72" s="34" t="n"/>
      <x:c r="J72" s="34" t="n"/>
      <x:c r="K72" s="72" t="b">
        <x:v>0</x:v>
      </x:c>
      <x:c r="L72" s="34" t="n"/>
      <x:c r="M72" s="34" t="n"/>
      <x:c r="N72" s="34" t="n"/>
      <x:c r="O72" s="67" t="inlineStr">
        <x:is>
          <x:t xml:space="preserve">Davi</x:t>
        </x:is>
      </x:c>
      <x:c r="P72" s="34" t="n"/>
      <x:c r="Q72" s="34" t="n">
        <x:v>2</x:v>
      </x:c>
      <x:c r="R72" s="34" t="n">
        <x:v>2026</x:v>
      </x:c>
    </x:row>
    <x:row r="73" s="116" customFormat="1" ht="15.75" customHeight="1">
      <x:c r="A73" s="44" t="n">
        <x:v>46069</x:v>
      </x:c>
      <x:c r="B73" s="48" t="n"/>
      <x:c r="C73" s="74" t="inlineStr">
        <x:is>
          <x:t xml:space="preserve">frederick loudoun home services</x:t>
        </x:is>
      </x:c>
      <x:c r="D73" s="34" t="inlineStr">
        <x:is>
          <x:t xml:space="preserve">Unknown</x:t>
        </x:is>
      </x:c>
      <x:c r="E73" s="76" t="n"/>
      <x:c r="F73" s="34" t="n"/>
      <x:c r="G73" s="73" t="n"/>
      <x:c r="H73" s="67" t="n"/>
      <x:c r="I73" s="34" t="n"/>
      <x:c r="J73" s="34" t="n"/>
      <x:c r="K73" s="72" t="n"/>
      <x:c r="L73" s="34" t="n"/>
      <x:c r="M73" s="34" t="inlineStr">
        <x:is>
          <x:t xml:space="preserve">Added from Fathom Calls (sales call audit)</x:t>
        </x:is>
      </x:c>
      <x:c r="N73" s="34" t="inlineStr">
        <x:is>
          <x:t xml:space="preserve">https://fathom.video/share/ekfs4QsSvaY8ZxNG1rsK218pY9mmTd6o</x:t>
        </x:is>
      </x:c>
      <x:c r="O73" s="67" t="inlineStr">
        <x:is>
          <x:t xml:space="preserve">ChatGPT</x:t>
        </x:is>
      </x:c>
      <x:c r="P73" s="34" t="inlineStr">
        <x:is>
          <x:t xml:space="preserve">2026-03-19T03:25:00Z</x:t>
        </x:is>
      </x:c>
      <x:c r="Q73" s="34" t="n">
        <x:v>2</x:v>
      </x:c>
      <x:c r="R73" s="34" t="n">
        <x:v>2026</x:v>
      </x:c>
    </x:row>
    <x:row r="74" s="116" customFormat="1" ht="15.75" customHeight="1">
      <x:c r="A74" s="44" t="n">
        <x:v>46069</x:v>
      </x:c>
      <x:c r="C74" s="74" t="inlineStr">
        <x:is>
          <x:t xml:space="preserve">Harold Howard</x:t>
        </x:is>
      </x:c>
      <x:c r="D74" s="34" t="inlineStr">
        <x:is>
          <x:t xml:space="preserve">Cold SMS</x:t>
        </x:is>
      </x:c>
      <x:c r="E74" s="34" t="inlineStr">
        <x:is>
          <x:t xml:space="preserve">Randy</x:t>
        </x:is>
      </x:c>
      <x:c r="F74" s="34" t="inlineStr">
        <x:is>
          <x:t xml:space="preserve">Showed</x:t>
        </x:is>
      </x:c>
      <x:c r="G74" s="73" t="inlineStr">
        <x:is>
          <x:t xml:space="preserve">No Closed</x:t>
        </x:is>
      </x:c>
      <x:c r="H74" s="67" t="inlineStr">
        <x:is>
          <x:t xml:space="preserve">Max</x:t>
        </x:is>
      </x:c>
      <x:c r="I74" s="34" t="n"/>
      <x:c r="J74" s="34" t="n"/>
      <x:c r="K74" s="72" t="b">
        <x:v>0</x:v>
      </x:c>
      <x:c r="L74" s="34" t="n"/>
      <x:c r="M74" s="34" t="n"/>
      <x:c r="N74" s="34" t="inlineStr">
        <x:is>
          <x:t xml:space="preserve">https://fathom.video/share/wfosvDubMC3oWgSeweFnpy314KXtWhWo</x:t>
        </x:is>
      </x:c>
      <x:c r="O74" s="67" t="inlineStr">
        <x:is>
          <x:t xml:space="preserve">Davi</x:t>
        </x:is>
      </x:c>
      <x:c r="P74" s="34" t="n"/>
      <x:c r="Q74" s="34" t="n">
        <x:v>2</x:v>
      </x:c>
      <x:c r="R74" s="34" t="n">
        <x:v>2026</x:v>
      </x:c>
    </x:row>
    <x:row r="75" s="116" customFormat="1" ht="15.75" customHeight="1">
      <x:c r="A75" s="44" t="n">
        <x:v>46069</x:v>
      </x:c>
      <x:c r="B75" s="48" t="n"/>
      <x:c r="C75" s="34" t="inlineStr">
        <x:is>
          <x:t xml:space="preserve">Mullineaux Glenn</x:t>
        </x:is>
      </x:c>
      <x:c r="D75" s="34" t="inlineStr">
        <x:is>
          <x:t xml:space="preserve">Cold SMS</x:t>
        </x:is>
      </x:c>
      <x:c r="E75" s="34" t="inlineStr">
        <x:is>
          <x:t xml:space="preserve">Randy</x:t>
        </x:is>
      </x:c>
      <x:c r="F75" s="34" t="inlineStr">
        <x:is>
          <x:t xml:space="preserve">Showed</x:t>
        </x:is>
      </x:c>
      <x:c r="G75" s="73" t="inlineStr">
        <x:is>
          <x:t xml:space="preserve">Closed</x:t>
        </x:is>
      </x:c>
      <x:c r="H75" s="67" t="inlineStr">
        <x:is>
          <x:t xml:space="preserve">Max</x:t>
        </x:is>
      </x:c>
      <x:c r="I75" s="34" t="n">
        <x:v>1200</x:v>
      </x:c>
      <x:c r="J75" s="34" t="n">
        <x:v>4800</x:v>
      </x:c>
      <x:c r="K75" s="72" t="b">
        <x:v>0</x:v>
      </x:c>
      <x:c r="L75" s="34" t="n"/>
      <x:c r="M75" s="34" t="n"/>
      <x:c r="N75" s="34" t="n"/>
      <x:c r="O75" s="67" t="inlineStr">
        <x:is>
          <x:t xml:space="preserve">Davi</x:t>
        </x:is>
      </x:c>
      <x:c r="P75" s="34" t="n"/>
      <x:c r="Q75" s="34" t="n">
        <x:v>2</x:v>
      </x:c>
      <x:c r="R75" s="34" t="n">
        <x:v>2026</x:v>
      </x:c>
    </x:row>
    <x:row r="76" s="116" customFormat="1" ht="15.75" customHeight="1">
      <x:c r="A76" s="44" t="n">
        <x:v>46067</x:v>
      </x:c>
      <x:c r="B76" s="48" t="n"/>
      <x:c r="C76" s="34" t="inlineStr">
        <x:is>
          <x:t xml:space="preserve">Edward </x:t>
        </x:is>
      </x:c>
      <x:c r="D76" s="34" t="inlineStr">
        <x:is>
          <x:t xml:space="preserve">Cold SMS</x:t>
        </x:is>
      </x:c>
      <x:c r="E76" s="34" t="inlineStr">
        <x:is>
          <x:t xml:space="preserve">Eddie</x:t>
        </x:is>
      </x:c>
      <x:c r="F76" s="34" t="inlineStr">
        <x:is>
          <x:t xml:space="preserve">Showed</x:t>
        </x:is>
      </x:c>
      <x:c r="G76" s="73" t="inlineStr">
        <x:is>
          <x:t xml:space="preserve">No Closed</x:t>
        </x:is>
      </x:c>
      <x:c r="H76" s="67" t="inlineStr">
        <x:is>
          <x:t xml:space="preserve">Max</x:t>
        </x:is>
      </x:c>
      <x:c r="I76" s="34" t="n"/>
      <x:c r="J76" s="34" t="n"/>
      <x:c r="K76" s="72" t="b">
        <x:v>0</x:v>
      </x:c>
      <x:c r="L76" s="34" t="n"/>
      <x:c r="M76" s="34" t="n"/>
      <x:c r="N76" s="34" t="inlineStr">
        <x:is>
          <x:t xml:space="preserve">https://fathom.video/share/j3jNTYKjSqcy-Vixo6mzuHsk2V-yTyVh</x:t>
        </x:is>
      </x:c>
      <x:c r="O76" s="67" t="inlineStr">
        <x:is>
          <x:t xml:space="preserve">Davi</x:t>
        </x:is>
      </x:c>
      <x:c r="P76" s="34" t="n"/>
      <x:c r="Q76" s="34" t="n">
        <x:v>2</x:v>
      </x:c>
      <x:c r="R76" s="34" t="n">
        <x:v>2026</x:v>
      </x:c>
    </x:row>
    <x:row r="77" s="116" customFormat="1" ht="15.75" customHeight="1">
      <x:c r="A77" s="44" t="n">
        <x:v>46067</x:v>
      </x:c>
      <x:c r="B77" s="34" t="n"/>
      <x:c r="C77" s="74" t="inlineStr">
        <x:is>
          <x:t xml:space="preserve">Kenneth Hewitt</x:t>
        </x:is>
      </x:c>
      <x:c r="D77" s="34" t="inlineStr">
        <x:is>
          <x:t xml:space="preserve">Cold SMS</x:t>
        </x:is>
      </x:c>
      <x:c r="E77" s="34" t="inlineStr">
        <x:is>
          <x:t xml:space="preserve">Eddie</x:t>
        </x:is>
      </x:c>
      <x:c r="F77" s="34" t="inlineStr">
        <x:is>
          <x:t xml:space="preserve">Showed</x:t>
        </x:is>
      </x:c>
      <x:c r="G77" s="73" t="inlineStr">
        <x:is>
          <x:t xml:space="preserve">Closed</x:t>
        </x:is>
      </x:c>
      <x:c r="H77" s="67" t="inlineStr">
        <x:is>
          <x:t xml:space="preserve">Max</x:t>
        </x:is>
      </x:c>
      <x:c r="I77" s="34" t="n">
        <x:v>1300</x:v>
      </x:c>
      <x:c r="J77" s="34" t="n">
        <x:v>8000</x:v>
      </x:c>
      <x:c r="K77" s="72" t="b">
        <x:v>0</x:v>
      </x:c>
      <x:c r="L77" s="34" t="n"/>
      <x:c r="M77" s="34" t="n"/>
      <x:c r="N77" s="34" t="inlineStr">
        <x:is>
          <x:t xml:space="preserve">https://fathom.video/share/waMKzkQ-xkQPbRzLJt5vfBADxdiUsSsx</x:t>
        </x:is>
      </x:c>
      <x:c r="O77" s="67" t="inlineStr">
        <x:is>
          <x:t xml:space="preserve">Davi</x:t>
        </x:is>
      </x:c>
      <x:c r="P77" s="34" t="n"/>
      <x:c r="Q77" s="34" t="n">
        <x:v>2</x:v>
      </x:c>
      <x:c r="R77" s="34" t="n">
        <x:v>2026</x:v>
      </x:c>
      <x:c r="S77" s="34" t="n"/>
      <x:c r="T77" s="34" t="n"/>
      <x:c r="U77" s="34" t="n"/>
      <x:c r="V77" s="34" t="n"/>
      <x:c r="W77" s="34" t="n"/>
      <x:c r="X77" s="34" t="n"/>
      <x:c r="Y77" s="34" t="n"/>
      <x:c r="Z77" s="34" t="n"/>
      <x:c r="AA77" s="34" t="n"/>
      <x:c r="AB77" s="34" t="n"/>
      <x:c r="AC77" s="34" t="n"/>
      <x:c r="AD77" s="34" t="n"/>
      <x:c r="AE77" s="34" t="n"/>
      <x:c r="AF77" s="34" t="n"/>
      <x:c r="AG77" s="34" t="n"/>
      <x:c r="AH77" s="34" t="n"/>
      <x:c r="AI77" s="34" t="n"/>
      <x:c r="AJ77" s="34" t="n"/>
      <x:c r="AK77" s="34" t="n"/>
      <x:c r="AL77" s="34" t="n"/>
      <x:c r="AM77" s="34" t="n"/>
      <x:c r="AN77" s="34" t="n"/>
      <x:c r="AO77" s="34" t="n"/>
      <x:c r="AP77" s="34" t="n"/>
      <x:c r="AQ77" s="34" t="n"/>
      <x:c r="AR77" s="34" t="n"/>
    </x:row>
    <x:row r="78" s="116" customFormat="1" ht="15.75" customHeight="1">
      <x:c r="A78" s="44" t="n">
        <x:v>46067</x:v>
      </x:c>
      <x:c r="B78" s="34" t="n"/>
      <x:c r="C78" s="74" t="inlineStr">
        <x:is>
          <x:t xml:space="preserve">Rafael E81Studio</x:t>
        </x:is>
      </x:c>
      <x:c r="D78" s="34" t="inlineStr">
        <x:is>
          <x:t xml:space="preserve">Cold SMS</x:t>
        </x:is>
      </x:c>
      <x:c r="E78" s="34" t="inlineStr">
        <x:is>
          <x:t xml:space="preserve">Eddie</x:t>
        </x:is>
      </x:c>
      <x:c r="F78" s="34" t="inlineStr">
        <x:is>
          <x:t xml:space="preserve">Showed</x:t>
        </x:is>
      </x:c>
      <x:c r="G78" s="73" t="inlineStr">
        <x:is>
          <x:t xml:space="preserve">No Closed</x:t>
        </x:is>
      </x:c>
      <x:c r="H78" s="67" t="inlineStr">
        <x:is>
          <x:t xml:space="preserve">Max</x:t>
        </x:is>
      </x:c>
      <x:c r="I78" s="34" t="n"/>
      <x:c r="J78" s="34" t="n"/>
      <x:c r="K78" s="72" t="b">
        <x:v>0</x:v>
      </x:c>
      <x:c r="L78" s="34" t="n"/>
      <x:c r="M78" s="34" t="n"/>
      <x:c r="N78" s="34" t="inlineStr">
        <x:is>
          <x:t xml:space="preserve">https://fathom.video/share/1jYfAs1mwYm11v6AP7chk7ACuyZVW5d8</x:t>
        </x:is>
      </x:c>
      <x:c r="O78" s="67" t="inlineStr">
        <x:is>
          <x:t xml:space="preserve">Davi</x:t>
        </x:is>
      </x:c>
      <x:c r="P78" s="34" t="n"/>
      <x:c r="Q78" s="34" t="n">
        <x:v>2</x:v>
      </x:c>
      <x:c r="R78" s="34" t="n">
        <x:v>2026</x:v>
      </x:c>
      <x:c r="S78" s="34" t="n"/>
      <x:c r="T78" s="34" t="n"/>
      <x:c r="U78" s="34" t="n"/>
      <x:c r="V78" s="34" t="n"/>
      <x:c r="W78" s="34" t="n"/>
      <x:c r="X78" s="34" t="n"/>
      <x:c r="Y78" s="34" t="n"/>
      <x:c r="Z78" s="34" t="n"/>
      <x:c r="AA78" s="34" t="n"/>
      <x:c r="AB78" s="34" t="n"/>
      <x:c r="AC78" s="34" t="n"/>
      <x:c r="AD78" s="34" t="n"/>
      <x:c r="AE78" s="34" t="n"/>
      <x:c r="AF78" s="34" t="n"/>
      <x:c r="AG78" s="34" t="n"/>
      <x:c r="AH78" s="34" t="n"/>
      <x:c r="AI78" s="34" t="n"/>
      <x:c r="AJ78" s="34" t="n"/>
      <x:c r="AK78" s="34" t="n"/>
      <x:c r="AL78" s="34" t="n"/>
      <x:c r="AM78" s="34" t="n"/>
      <x:c r="AN78" s="34" t="n"/>
      <x:c r="AO78" s="34" t="n"/>
      <x:c r="AP78" s="34" t="n"/>
      <x:c r="AQ78" s="34" t="n"/>
      <x:c r="AR78" s="34" t="n"/>
    </x:row>
    <x:row r="79" s="116" customFormat="1" ht="15.75" customHeight="1">
      <x:c r="A79" s="44" t="n">
        <x:v>46066</x:v>
      </x:c>
      <x:c r="B79" s="34" t="n"/>
      <x:c r="C79" s="77" t="inlineStr">
        <x:is>
          <x:t xml:space="preserve">Epr - Eladio Plumbing&amp;remodeling</x:t>
        </x:is>
      </x:c>
      <x:c r="D79" s="34" t="inlineStr">
        <x:is>
          <x:t xml:space="preserve">Cold SMS</x:t>
        </x:is>
      </x:c>
      <x:c r="E79" s="34" t="inlineStr">
        <x:is>
          <x:t xml:space="preserve">Randy</x:t>
        </x:is>
      </x:c>
      <x:c r="F79" s="34" t="inlineStr">
        <x:is>
          <x:t xml:space="preserve">Showed</x:t>
        </x:is>
      </x:c>
      <x:c r="G79" s="73" t="inlineStr">
        <x:is>
          <x:t xml:space="preserve">No Closed</x:t>
        </x:is>
      </x:c>
      <x:c r="H79" s="67" t="inlineStr">
        <x:is>
          <x:t xml:space="preserve">Max</x:t>
        </x:is>
      </x:c>
      <x:c r="I79" s="34" t="n"/>
      <x:c r="J79" s="34" t="n"/>
      <x:c r="K79" s="72" t="b">
        <x:v>0</x:v>
      </x:c>
      <x:c r="L79" s="34" t="n"/>
      <x:c r="M79" s="34" t="n"/>
      <x:c r="N79" s="34" t="inlineStr">
        <x:is>
          <x:t xml:space="preserve">https://fathom.video/share/DzTasaayouyhyBswkhPRTTgqGdBzy6as</x:t>
        </x:is>
      </x:c>
      <x:c r="O79" s="67" t="inlineStr">
        <x:is>
          <x:t xml:space="preserve">Davi</x:t>
        </x:is>
      </x:c>
      <x:c r="P79" s="34" t="n"/>
      <x:c r="Q79" s="34" t="n">
        <x:v>2</x:v>
      </x:c>
      <x:c r="R79" s="34" t="n">
        <x:v>2026</x:v>
      </x:c>
      <x:c r="S79" s="34" t="n"/>
      <x:c r="T79" s="34" t="n"/>
      <x:c r="U79" s="34" t="n"/>
      <x:c r="V79" s="34" t="n"/>
      <x:c r="W79" s="34" t="n"/>
      <x:c r="X79" s="34" t="n"/>
      <x:c r="Y79" s="34" t="n"/>
      <x:c r="Z79" s="34" t="n"/>
      <x:c r="AA79" s="34" t="n"/>
      <x:c r="AB79" s="34" t="n"/>
      <x:c r="AC79" s="34" t="n"/>
      <x:c r="AD79" s="34" t="n"/>
      <x:c r="AE79" s="34" t="n"/>
      <x:c r="AF79" s="34" t="n"/>
      <x:c r="AG79" s="34" t="n"/>
      <x:c r="AH79" s="34" t="n"/>
      <x:c r="AI79" s="34" t="n"/>
      <x:c r="AJ79" s="34" t="n"/>
      <x:c r="AK79" s="34" t="n"/>
      <x:c r="AL79" s="34" t="n"/>
      <x:c r="AM79" s="34" t="n"/>
      <x:c r="AN79" s="34" t="n"/>
      <x:c r="AO79" s="34" t="n"/>
      <x:c r="AP79" s="34" t="n"/>
      <x:c r="AQ79" s="34" t="n"/>
      <x:c r="AR79" s="34" t="n"/>
    </x:row>
    <x:row r="80" s="116" customFormat="1" ht="15.75" customHeight="1">
      <x:c r="A80" s="44" t="n">
        <x:v>46066</x:v>
      </x:c>
      <x:c r="B80" s="34" t="n"/>
      <x:c r="C80" s="74" t="inlineStr">
        <x:is>
          <x:t xml:space="preserve">Grace Construction</x:t>
        </x:is>
      </x:c>
      <x:c r="D80" s="34" t="inlineStr">
        <x:is>
          <x:t xml:space="preserve">Cold SMS</x:t>
        </x:is>
      </x:c>
      <x:c r="E80" s="34" t="inlineStr">
        <x:is>
          <x:t xml:space="preserve">Randy</x:t>
        </x:is>
      </x:c>
      <x:c r="F80" s="34" t="inlineStr">
        <x:is>
          <x:t xml:space="preserve">Showed</x:t>
        </x:is>
      </x:c>
      <x:c r="G80" s="73" t="inlineStr">
        <x:is>
          <x:t xml:space="preserve">No Closed</x:t>
        </x:is>
      </x:c>
      <x:c r="H80" s="67" t="inlineStr">
        <x:is>
          <x:t xml:space="preserve">Max</x:t>
        </x:is>
      </x:c>
      <x:c r="I80" s="48" t="n"/>
      <x:c r="J80" s="48" t="n"/>
      <x:c r="K80" s="72" t="b">
        <x:v>0</x:v>
      </x:c>
      <x:c r="N80" t="inlineStr">
        <x:is>
          <x:t xml:space="preserve">https://fathom.video/share/rhS69z4cV9sLeqsn2xS34sjyCQ-xYnYC</x:t>
        </x:is>
      </x:c>
      <x:c r="O80" s="67" t="inlineStr">
        <x:is>
          <x:t xml:space="preserve">Davi</x:t>
        </x:is>
      </x:c>
      <x:c r="Q80" t="n">
        <x:v>2</x:v>
      </x:c>
      <x:c r="R80" t="n">
        <x:v>2026</x:v>
      </x:c>
    </x:row>
    <x:row r="81" s="116" customFormat="1" ht="15.75" customHeight="1">
      <x:c r="A81" s="44" t="n">
        <x:v>46065</x:v>
      </x:c>
      <x:c r="B81" s="34" t="n"/>
      <x:c r="C81" s="74" t="inlineStr">
        <x:is>
          <x:t xml:space="preserve">Rashad Construction</x:t>
        </x:is>
      </x:c>
      <x:c r="D81" s="34" t="inlineStr">
        <x:is>
          <x:t xml:space="preserve">Cold SMS</x:t>
        </x:is>
      </x:c>
      <x:c r="E81" s="34" t="inlineStr">
        <x:is>
          <x:t xml:space="preserve">Daniel</x:t>
        </x:is>
      </x:c>
      <x:c r="F81" s="34" t="inlineStr">
        <x:is>
          <x:t xml:space="preserve">Showed</x:t>
        </x:is>
      </x:c>
      <x:c r="G81" s="73" t="inlineStr">
        <x:is>
          <x:t xml:space="preserve">No Closed</x:t>
        </x:is>
      </x:c>
      <x:c r="H81" s="67" t="inlineStr">
        <x:is>
          <x:t xml:space="preserve">Max</x:t>
        </x:is>
      </x:c>
      <x:c r="K81" s="72" t="b">
        <x:v>0</x:v>
      </x:c>
      <x:c r="N81" t="inlineStr">
        <x:is>
          <x:t xml:space="preserve">https://fathom.video/share/jtQCdWQBziz8chLspa4KGoXNNX8ywzUz</x:t>
        </x:is>
      </x:c>
      <x:c r="O81" s="67" t="inlineStr">
        <x:is>
          <x:t xml:space="preserve">Davi</x:t>
        </x:is>
      </x:c>
      <x:c r="Q81" t="n">
        <x:v>2</x:v>
      </x:c>
      <x:c r="R81" t="n">
        <x:v>2026</x:v>
      </x:c>
    </x:row>
    <x:row r="82" s="116" customFormat="1" ht="15.75" customHeight="1">
      <x:c r="A82" s="44" t="n">
        <x:v>46064</x:v>
      </x:c>
      <x:c r="B82" s="34" t="n"/>
      <x:c r="C82" s="34" t="inlineStr">
        <x:is>
          <x:t xml:space="preserve">jodie</x:t>
        </x:is>
      </x:c>
      <x:c r="D82" s="34" t="inlineStr">
        <x:is>
          <x:t xml:space="preserve">Unknown</x:t>
        </x:is>
      </x:c>
      <x:c r="E82" s="34" t="n"/>
      <x:c r="F82" s="34" t="n"/>
      <x:c r="G82" s="73" t="n"/>
      <x:c r="H82" s="67" t="n"/>
      <x:c r="K82" s="72" t="n"/>
      <x:c r="M82" t="inlineStr">
        <x:is>
          <x:t xml:space="preserve">Added from Fathom Calls (sales call audit)</x:t>
        </x:is>
      </x:c>
      <x:c r="N82" t="inlineStr">
        <x:is>
          <x:t xml:space="preserve">https://fathom.video/share/Fz8soGiTFpyrZFk-cXDkV1ztCW84TPcw</x:t>
        </x:is>
      </x:c>
      <x:c r="O82" s="67" t="inlineStr">
        <x:is>
          <x:t xml:space="preserve">ChatGPT</x:t>
        </x:is>
      </x:c>
      <x:c r="P82" t="inlineStr">
        <x:is>
          <x:t xml:space="preserve">2026-03-19T03:25:00Z</x:t>
        </x:is>
      </x:c>
      <x:c r="Q82" t="n">
        <x:v>2</x:v>
      </x:c>
      <x:c r="R82" t="n">
        <x:v>2026</x:v>
      </x:c>
    </x:row>
    <x:row r="83" s="116" customFormat="1" ht="15.75" customHeight="1">
      <x:c r="A83" s="44" t="n">
        <x:v>46064</x:v>
      </x:c>
      <x:c r="B83" s="34" t="n"/>
      <x:c r="C83" s="34" t="inlineStr">
        <x:is>
          <x:t xml:space="preserve">Sean Mabrey Roofing</x:t>
        </x:is>
      </x:c>
      <x:c r="D83" s="34" t="inlineStr">
        <x:is>
          <x:t xml:space="preserve">Cold SMS</x:t>
        </x:is>
      </x:c>
      <x:c r="E83" s="34" t="inlineStr">
        <x:is>
          <x:t xml:space="preserve">Randy</x:t>
        </x:is>
      </x:c>
      <x:c r="F83" s="34" t="inlineStr">
        <x:is>
          <x:t xml:space="preserve">Showed</x:t>
        </x:is>
      </x:c>
      <x:c r="G83" s="73" t="inlineStr">
        <x:is>
          <x:t xml:space="preserve">No Closed</x:t>
        </x:is>
      </x:c>
      <x:c r="H83" s="67" t="inlineStr">
        <x:is>
          <x:t xml:space="preserve">Max</x:t>
        </x:is>
      </x:c>
      <x:c r="K83" s="72" t="b">
        <x:v>0</x:v>
      </x:c>
      <x:c r="N83" t="inlineStr">
        <x:is>
          <x:t xml:space="preserve">https://fathom.video/share/3HzQGmge72Jp6LqyzH1mRWNESZsdMB9y</x:t>
        </x:is>
      </x:c>
      <x:c r="O83" s="67" t="inlineStr">
        <x:is>
          <x:t xml:space="preserve">Davi</x:t>
        </x:is>
      </x:c>
      <x:c r="Q83" t="n">
        <x:v>2</x:v>
      </x:c>
      <x:c r="R83" t="n">
        <x:v>2026</x:v>
      </x:c>
    </x:row>
    <x:row r="84" s="116" customFormat="1" ht="15.75" customHeight="1">
      <x:c r="A84" s="44" t="n">
        <x:v>46062</x:v>
      </x:c>
      <x:c r="B84" s="34" t="n"/>
      <x:c r="C84" s="34" t="inlineStr">
        <x:is>
          <x:t xml:space="preserve">ALex</x:t>
        </x:is>
      </x:c>
      <x:c r="D84" s="34" t="inlineStr">
        <x:is>
          <x:t xml:space="preserve">Cold SMS</x:t>
        </x:is>
      </x:c>
      <x:c r="E84" s="34" t="inlineStr">
        <x:is>
          <x:t xml:space="preserve">Daniel</x:t>
        </x:is>
      </x:c>
      <x:c r="F84" s="34" t="inlineStr">
        <x:is>
          <x:t xml:space="preserve">No-Show</x:t>
        </x:is>
      </x:c>
      <x:c r="G84" s="73" t="n"/>
      <x:c r="H84" s="67" t="inlineStr">
        <x:is>
          <x:t xml:space="preserve">Max</x:t>
        </x:is>
      </x:c>
      <x:c r="K84" s="72" t="b">
        <x:v>0</x:v>
      </x:c>
      <x:c r="O84" s="67" t="inlineStr">
        <x:is>
          <x:t xml:space="preserve">Davi</x:t>
        </x:is>
      </x:c>
      <x:c r="Q84" t="n">
        <x:v>2</x:v>
      </x:c>
      <x:c r="R84" t="n">
        <x:v>2026</x:v>
      </x:c>
    </x:row>
    <x:row r="85" s="116" customFormat="1" ht="15.75" customHeight="1">
      <x:c r="A85" s="44" t="n">
        <x:v>46062</x:v>
      </x:c>
      <x:c r="B85" s="48" t="n"/>
      <x:c r="C85" s="48" t="inlineStr">
        <x:is>
          <x:t xml:space="preserve">Kennedy </x:t>
        </x:is>
      </x:c>
      <x:c r="D85" s="34" t="inlineStr">
        <x:is>
          <x:t xml:space="preserve">Cold SMS</x:t>
        </x:is>
      </x:c>
      <x:c r="E85" s="34" t="inlineStr">
        <x:is>
          <x:t xml:space="preserve">Randy</x:t>
        </x:is>
      </x:c>
      <x:c r="F85" s="34" t="inlineStr">
        <x:is>
          <x:t xml:space="preserve">Showed</x:t>
        </x:is>
      </x:c>
      <x:c r="G85" s="73" t="inlineStr">
        <x:is>
          <x:t xml:space="preserve">No Closed</x:t>
        </x:is>
      </x:c>
      <x:c r="H85" s="67" t="inlineStr">
        <x:is>
          <x:t xml:space="preserve">Max</x:t>
        </x:is>
      </x:c>
      <x:c r="I85" s="48" t="n"/>
      <x:c r="J85" s="48" t="n"/>
      <x:c r="K85" s="48" t="b">
        <x:v>0</x:v>
      </x:c>
      <x:c r="N85" t="inlineStr">
        <x:is>
          <x:t xml:space="preserve">https://fathom.video/share/TpXfNEJh-ywb5WxAzzV_X_sz97y4BWsZ</x:t>
        </x:is>
      </x:c>
      <x:c r="O85" s="67" t="inlineStr">
        <x:is>
          <x:t xml:space="preserve">Davi</x:t>
        </x:is>
      </x:c>
      <x:c r="P85" s="48" t="n"/>
      <x:c r="Q85" s="48" t="n">
        <x:v>2</x:v>
      </x:c>
      <x:c r="R85" s="48" t="n">
        <x:v>2026</x:v>
      </x:c>
    </x:row>
    <x:row r="86" s="116" customFormat="1" ht="15.75" customHeight="1">
      <x:c r="A86" s="44" t="n">
        <x:v>46062</x:v>
      </x:c>
      <x:c r="B86" s="48" t="n"/>
      <x:c r="C86" s="48" t="inlineStr">
        <x:is>
          <x:t xml:space="preserve">Lacy </x:t>
        </x:is>
      </x:c>
      <x:c r="D86" s="34" t="inlineStr">
        <x:is>
          <x:t xml:space="preserve">Cold SMS</x:t>
        </x:is>
      </x:c>
      <x:c r="E86" s="34" t="inlineStr">
        <x:is>
          <x:t xml:space="preserve">Daniel</x:t>
        </x:is>
      </x:c>
      <x:c r="F86" s="34" t="inlineStr">
        <x:is>
          <x:t xml:space="preserve">No-Show</x:t>
        </x:is>
      </x:c>
      <x:c r="G86" s="73" t="n"/>
      <x:c r="H86" s="67" t="inlineStr">
        <x:is>
          <x:t xml:space="preserve">Max</x:t>
        </x:is>
      </x:c>
      <x:c r="I86" s="48" t="n"/>
      <x:c r="J86" s="48" t="n"/>
      <x:c r="K86" s="48" t="b">
        <x:v>0</x:v>
      </x:c>
      <x:c r="O86" s="67" t="inlineStr">
        <x:is>
          <x:t xml:space="preserve">Davi</x:t>
        </x:is>
      </x:c>
      <x:c r="P86" s="48" t="n"/>
      <x:c r="Q86" s="48" t="n">
        <x:v>2</x:v>
      </x:c>
      <x:c r="R86" s="48" t="n">
        <x:v>2026</x:v>
      </x:c>
    </x:row>
    <x:row r="87" s="116" customFormat="1" ht="15.75" customHeight="1">
      <x:c r="A87" s="44" t="n">
        <x:v>46060</x:v>
      </x:c>
      <x:c r="B87" s="48" t="n"/>
      <x:c r="C87" s="48" t="inlineStr">
        <x:is>
          <x:t xml:space="preserve">Gary </x:t>
        </x:is>
      </x:c>
      <x:c r="D87" s="34" t="inlineStr">
        <x:is>
          <x:t xml:space="preserve">Cold SMS</x:t>
        </x:is>
      </x:c>
      <x:c r="E87" s="34" t="inlineStr">
        <x:is>
          <x:t xml:space="preserve">Daniel</x:t>
        </x:is>
      </x:c>
      <x:c r="F87" s="34" t="inlineStr">
        <x:is>
          <x:t xml:space="preserve">No-Show</x:t>
        </x:is>
      </x:c>
      <x:c r="G87" s="73" t="inlineStr">
        <x:is>
          <x:t xml:space="preserve">No Closed</x:t>
        </x:is>
      </x:c>
      <x:c r="H87" s="67" t="inlineStr">
        <x:is>
          <x:t xml:space="preserve">Max</x:t>
        </x:is>
      </x:c>
      <x:c r="K87" s="48" t="b">
        <x:v>0</x:v>
      </x:c>
      <x:c r="L87" s="48" t="n"/>
      <x:c r="O87" s="67" t="inlineStr">
        <x:is>
          <x:t xml:space="preserve">Davi</x:t>
        </x:is>
      </x:c>
      <x:c r="P87" s="48" t="n"/>
      <x:c r="Q87" s="48" t="n">
        <x:v>2</x:v>
      </x:c>
      <x:c r="R87" s="48" t="n">
        <x:v>2026</x:v>
      </x:c>
    </x:row>
    <x:row r="88" s="116" customFormat="1" ht="15.75" customHeight="1">
      <x:c r="A88" s="44" t="n">
        <x:v>46060</x:v>
      </x:c>
      <x:c r="B88" s="48" t="n"/>
      <x:c r="C88" s="48" t="inlineStr">
        <x:is>
          <x:t xml:space="preserve">Jodie </x:t>
        </x:is>
      </x:c>
      <x:c r="D88" s="34" t="inlineStr">
        <x:is>
          <x:t xml:space="preserve">Cold SMS</x:t>
        </x:is>
      </x:c>
      <x:c r="E88" s="34" t="inlineStr">
        <x:is>
          <x:t xml:space="preserve">Randy</x:t>
        </x:is>
      </x:c>
      <x:c r="F88" s="34" t="inlineStr">
        <x:is>
          <x:t xml:space="preserve">No-Show</x:t>
        </x:is>
      </x:c>
      <x:c r="G88" s="73" t="n"/>
      <x:c r="H88" s="67" t="inlineStr">
        <x:is>
          <x:t xml:space="preserve">Max</x:t>
        </x:is>
      </x:c>
      <x:c r="I88" s="48" t="n"/>
      <x:c r="J88" s="48" t="n"/>
      <x:c r="K88" s="48" t="b">
        <x:v>0</x:v>
      </x:c>
      <x:c r="O88" s="67" t="inlineStr">
        <x:is>
          <x:t xml:space="preserve">Davi</x:t>
        </x:is>
      </x:c>
      <x:c r="Q88" t="n">
        <x:v>2</x:v>
      </x:c>
      <x:c r="R88" t="n">
        <x:v>2026</x:v>
      </x:c>
    </x:row>
    <x:row r="89" s="116" customFormat="1" ht="15.75" customHeight="1">
      <x:c r="A89" s="44" t="n">
        <x:v>46059</x:v>
      </x:c>
      <x:c r="B89" s="48" t="inlineStr">
        <x:is>
          <x:t xml:space="preserve">NEWUXXjngZ2zQceqwlIM</x:t>
        </x:is>
      </x:c>
      <x:c r="C89" s="48" t="inlineStr">
        <x:is>
          <x:t xml:space="preserve">John</x:t>
        </x:is>
      </x:c>
      <x:c r="D89" s="34" t="inlineStr">
        <x:is>
          <x:t xml:space="preserve">Cold SMS</x:t>
        </x:is>
      </x:c>
      <x:c r="E89" s="34" t="inlineStr">
        <x:is>
          <x:t xml:space="preserve">Ads - No Setter</x:t>
        </x:is>
      </x:c>
      <x:c r="F89" s="34" t="inlineStr">
        <x:is>
          <x:t xml:space="preserve">No-Show</x:t>
        </x:is>
      </x:c>
      <x:c r="G89" s="73" t="n"/>
      <x:c r="H89" s="67" t="n"/>
      <x:c r="K89" s="48" t="n"/>
      <x:c r="L89" s="48" t="n"/>
      <x:c r="O89" s="67" t="inlineStr">
        <x:is>
          <x:t xml:space="preserve">Evan (Auto)</x:t>
        </x:is>
      </x:c>
      <x:c r="P89" t="inlineStr">
        <x:is>
          <x:t xml:space="preserve">2026-03-19T00:20:03.202Z</x:t>
        </x:is>
      </x:c>
      <x:c r="Q89" t="n">
        <x:v>2</x:v>
      </x:c>
      <x:c r="R89" t="n">
        <x:v>2026</x:v>
      </x:c>
    </x:row>
    <x:row r="90" s="116" customFormat="1" ht="15.75" customHeight="1">
      <x:c r="A90" s="44" t="n">
        <x:v>46059</x:v>
      </x:c>
      <x:c r="B90" s="48" t="n"/>
      <x:c r="C90" s="48" t="inlineStr">
        <x:is>
          <x:t xml:space="preserve">Kennedy </x:t>
        </x:is>
      </x:c>
      <x:c r="D90" s="34" t="inlineStr">
        <x:is>
          <x:t xml:space="preserve">Cold SMS</x:t>
        </x:is>
      </x:c>
      <x:c r="E90" s="34" t="inlineStr">
        <x:is>
          <x:t xml:space="preserve">Randy</x:t>
        </x:is>
      </x:c>
      <x:c r="F90" s="34" t="inlineStr">
        <x:is>
          <x:t xml:space="preserve">No-Show</x:t>
        </x:is>
      </x:c>
      <x:c r="G90" s="73" t="n"/>
      <x:c r="H90" s="67" t="inlineStr">
        <x:is>
          <x:t xml:space="preserve">Max</x:t>
        </x:is>
      </x:c>
      <x:c r="K90" s="48" t="b">
        <x:v>0</x:v>
      </x:c>
      <x:c r="O90" s="67" t="inlineStr">
        <x:is>
          <x:t xml:space="preserve">Davi</x:t>
        </x:is>
      </x:c>
      <x:c r="Q90" t="n">
        <x:v>2</x:v>
      </x:c>
      <x:c r="R90" t="n">
        <x:v>2026</x:v>
      </x:c>
    </x:row>
    <x:row r="91" s="116" customFormat="1" ht="15.75" customHeight="1">
      <x:c r="A91" s="44" t="n">
        <x:v>46059</x:v>
      </x:c>
      <x:c r="B91" s="48" t="inlineStr">
        <x:is>
          <x:t xml:space="preserve">TGlQKLsSCk4Az0bO1vma</x:t>
        </x:is>
      </x:c>
      <x:c r="C91" s="48" t="inlineStr">
        <x:is>
          <x:t xml:space="preserve">Max Construction Services</x:t>
        </x:is>
      </x:c>
      <x:c r="D91" s="34" t="inlineStr">
        <x:is>
          <x:t xml:space="preserve">Cold SMS</x:t>
        </x:is>
      </x:c>
      <x:c r="E91" s="34" t="inlineStr">
        <x:is>
          <x:t xml:space="preserve">Ads - No Setter</x:t>
        </x:is>
      </x:c>
      <x:c r="F91" s="34" t="inlineStr">
        <x:is>
          <x:t xml:space="preserve">No-Show</x:t>
        </x:is>
      </x:c>
      <x:c r="G91" s="73" t="n"/>
      <x:c r="H91" s="67" t="n"/>
      <x:c r="K91" s="48" t="n"/>
      <x:c r="O91" s="67" t="inlineStr">
        <x:is>
          <x:t xml:space="preserve">Evan (Auto)</x:t>
        </x:is>
      </x:c>
      <x:c r="P91" s="48" t="inlineStr">
        <x:is>
          <x:t xml:space="preserve">2026-03-19T00:20:03.202Z</x:t>
        </x:is>
      </x:c>
      <x:c r="Q91" s="48" t="n">
        <x:v>2</x:v>
      </x:c>
      <x:c r="R91" s="48" t="n">
        <x:v>2026</x:v>
      </x:c>
    </x:row>
    <x:row r="92" s="116" customFormat="1" ht="15.75" customHeight="1">
      <x:c r="A92" s="44" t="n">
        <x:v>46058</x:v>
      </x:c>
      <x:c r="B92" s="48" t="inlineStr">
        <x:is>
          <x:t xml:space="preserve">QPZAtOJOOHBy4kzKLwQ3</x:t>
        </x:is>
      </x:c>
      <x:c r="C92" s="48" t="n"/>
      <x:c r="D92" s="34" t="inlineStr">
        <x:is>
          <x:t xml:space="preserve">Cold SMS</x:t>
        </x:is>
      </x:c>
      <x:c r="E92" s="34" t="inlineStr">
        <x:is>
          <x:t xml:space="preserve">Ads - No Setter</x:t>
        </x:is>
      </x:c>
      <x:c r="F92" s="34" t="inlineStr">
        <x:is>
          <x:t xml:space="preserve">No-Show</x:t>
        </x:is>
      </x:c>
      <x:c r="G92" s="73" t="n"/>
      <x:c r="H92" s="67" t="n"/>
      <x:c r="I92" s="48" t="n"/>
      <x:c r="J92" s="48" t="n"/>
      <x:c r="K92" s="48" t="n"/>
      <x:c r="O92" s="67" t="inlineStr">
        <x:is>
          <x:t xml:space="preserve">Evan (Auto)</x:t>
        </x:is>
      </x:c>
      <x:c r="P92" s="48" t="inlineStr">
        <x:is>
          <x:t xml:space="preserve">2026-03-19T00:20:00.937Z</x:t>
        </x:is>
      </x:c>
      <x:c r="Q92" s="48" t="n">
        <x:v>2</x:v>
      </x:c>
      <x:c r="R92" s="48" t="n">
        <x:v>2026</x:v>
      </x:c>
    </x:row>
    <x:row r="93" s="116" customFormat="1" ht="15.75" customHeight="1">
      <x:c r="A93" s="44" t="n">
        <x:v>46058</x:v>
      </x:c>
      <x:c r="B93" s="48" t="inlineStr">
        <x:is>
          <x:t xml:space="preserve">e5CXYz4KaYFX95mxS5pk</x:t>
        </x:is>
      </x:c>
      <x:c r="C93" s="48" t="inlineStr">
        <x:is>
          <x:t xml:space="preserve">Bill</x:t>
        </x:is>
      </x:c>
      <x:c r="D93" s="34" t="inlineStr">
        <x:is>
          <x:t xml:space="preserve">Cold SMS</x:t>
        </x:is>
      </x:c>
      <x:c r="E93" s="34" t="inlineStr">
        <x:is>
          <x:t xml:space="preserve">Ads - No Setter</x:t>
        </x:is>
      </x:c>
      <x:c r="F93" s="34" t="inlineStr">
        <x:is>
          <x:t xml:space="preserve">Showed</x:t>
        </x:is>
      </x:c>
      <x:c r="G93" s="73" t="n"/>
      <x:c r="H93" s="67" t="n"/>
      <x:c r="I93" s="48" t="n"/>
      <x:c r="J93" s="48" t="n"/>
      <x:c r="K93" s="48" t="n"/>
      <x:c r="O93" s="67" t="inlineStr">
        <x:is>
          <x:t xml:space="preserve">Evan (Auto)</x:t>
        </x:is>
      </x:c>
      <x:c r="P93" s="48" t="inlineStr">
        <x:is>
          <x:t xml:space="preserve">2026-03-19T00:20:00.937Z</x:t>
        </x:is>
      </x:c>
      <x:c r="Q93" s="48" t="n">
        <x:v>2</x:v>
      </x:c>
      <x:c r="R93" s="48" t="n">
        <x:v>2026</x:v>
      </x:c>
    </x:row>
    <x:row r="94" s="116" customFormat="1" ht="15.75" customHeight="1">
      <x:c r="A94" s="44" t="n">
        <x:v>46058</x:v>
      </x:c>
      <x:c r="B94" t="inlineStr">
        <x:is>
          <x:t xml:space="preserve">Fenelon</x:t>
        </x:is>
      </x:c>
      <x:c r="C94" s="48" t="inlineStr">
        <x:is>
          <x:t xml:space="preserve">bill@probuiltco.com</x:t>
        </x:is>
      </x:c>
      <x:c r="D94" s="34" t="inlineStr">
        <x:is>
          <x:t xml:space="preserve">Cold SMS</x:t>
        </x:is>
      </x:c>
      <x:c r="E94" s="34" t="inlineStr">
        <x:is>
          <x:t xml:space="preserve">Randy</x:t>
        </x:is>
      </x:c>
      <x:c r="F94" s="34" t="inlineStr">
        <x:is>
          <x:t xml:space="preserve">Showed</x:t>
        </x:is>
      </x:c>
      <x:c r="G94" s="73" t="inlineStr">
        <x:is>
          <x:t xml:space="preserve">Closed</x:t>
        </x:is>
      </x:c>
      <x:c r="H94" s="67" t="inlineStr">
        <x:is>
          <x:t xml:space="preserve">Max</x:t>
        </x:is>
      </x:c>
      <x:c r="I94" s="48" t="n">
        <x:v>800</x:v>
      </x:c>
      <x:c r="J94" s="48" t="n">
        <x:v>4800</x:v>
      </x:c>
      <x:c r="K94" s="48" t="b">
        <x:v>0</x:v>
      </x:c>
      <x:c r="O94" s="67" t="inlineStr">
        <x:is>
          <x:t xml:space="preserve">Davi</x:t>
        </x:is>
      </x:c>
      <x:c r="Q94" t="n">
        <x:v>2</x:v>
      </x:c>
      <x:c r="R94" t="n">
        <x:v>2026</x:v>
      </x:c>
    </x:row>
    <x:row r="95" s="116" customFormat="1" ht="15.75" customHeight="1">
      <x:c r="A95" s="44" t="n">
        <x:v>46058</x:v>
      </x:c>
      <x:c r="B95" t="inlineStr">
        <x:is>
          <x:t xml:space="preserve">ecIWck5KfWbjSCQbHwu8</x:t>
        </x:is>
      </x:c>
      <x:c r="C95" s="48" t="inlineStr">
        <x:is>
          <x:t xml:space="preserve">Kevin</x:t>
        </x:is>
      </x:c>
      <x:c r="D95" s="34" t="inlineStr">
        <x:is>
          <x:t xml:space="preserve">Cold SMS</x:t>
        </x:is>
      </x:c>
      <x:c r="E95" s="34" t="inlineStr">
        <x:is>
          <x:t xml:space="preserve">Ads - No Setter</x:t>
        </x:is>
      </x:c>
      <x:c r="F95" s="34" t="inlineStr">
        <x:is>
          <x:t xml:space="preserve">Showed</x:t>
        </x:is>
      </x:c>
      <x:c r="G95" s="73" t="n"/>
      <x:c r="H95" s="67" t="n"/>
      <x:c r="K95" s="48" t="n"/>
      <x:c r="O95" s="67" t="inlineStr">
        <x:is>
          <x:t xml:space="preserve">Evan (Auto)</x:t>
        </x:is>
      </x:c>
      <x:c r="P95" t="inlineStr">
        <x:is>
          <x:t xml:space="preserve">2026-03-19T00:20:00.937Z</x:t>
        </x:is>
      </x:c>
      <x:c r="Q95" t="n">
        <x:v>2</x:v>
      </x:c>
      <x:c r="R95" t="n">
        <x:v>2026</x:v>
      </x:c>
    </x:row>
    <x:row r="96" s="116" customFormat="1" ht="15.75" customHeight="1">
      <x:c r="A96" s="44" t="n">
        <x:v>46058</x:v>
      </x:c>
      <x:c r="B96" s="48" t="n"/>
      <x:c r="C96" s="48" t="inlineStr">
        <x:is>
          <x:t xml:space="preserve">Kevin</x:t>
        </x:is>
      </x:c>
      <x:c r="D96" s="34" t="inlineStr">
        <x:is>
          <x:t xml:space="preserve">Cold SMS</x:t>
        </x:is>
      </x:c>
      <x:c r="E96" s="34" t="inlineStr">
        <x:is>
          <x:t xml:space="preserve">Daniel</x:t>
        </x:is>
      </x:c>
      <x:c r="F96" s="34" t="inlineStr">
        <x:is>
          <x:t xml:space="preserve">Rescheduled</x:t>
        </x:is>
      </x:c>
      <x:c r="G96" s="73" t="inlineStr">
        <x:is>
          <x:t xml:space="preserve">No Closed</x:t>
        </x:is>
      </x:c>
      <x:c r="H96" s="67" t="inlineStr">
        <x:is>
          <x:t xml:space="preserve">Max</x:t>
        </x:is>
      </x:c>
      <x:c r="I96" s="48" t="n"/>
      <x:c r="J96" s="48" t="n"/>
      <x:c r="K96" s="48" t="b">
        <x:v>0</x:v>
      </x:c>
      <x:c r="O96" s="67" t="inlineStr">
        <x:is>
          <x:t xml:space="preserve">Davi</x:t>
        </x:is>
      </x:c>
      <x:c r="Q96" t="n">
        <x:v>2</x:v>
      </x:c>
      <x:c r="R96" t="n">
        <x:v>2026</x:v>
      </x:c>
    </x:row>
    <x:row r="97" s="116" customFormat="1" ht="15.75" customHeight="1">
      <x:c r="A97" s="44" t="n">
        <x:v>46058</x:v>
      </x:c>
      <x:c r="B97" s="48" t="inlineStr">
        <x:is>
          <x:t xml:space="preserve">801l0sdm9Im8EbrJP7Mp</x:t>
        </x:is>
      </x:c>
      <x:c r="C97" s="48" t="inlineStr">
        <x:is>
          <x:t xml:space="preserve">Oscar</x:t>
        </x:is>
      </x:c>
      <x:c r="D97" s="34" t="inlineStr">
        <x:is>
          <x:t xml:space="preserve">Cold SMS</x:t>
        </x:is>
      </x:c>
      <x:c r="E97" s="34" t="inlineStr">
        <x:is>
          <x:t xml:space="preserve">Ads - No Setter</x:t>
        </x:is>
      </x:c>
      <x:c r="F97" s="34" t="inlineStr">
        <x:is>
          <x:t xml:space="preserve">Showed</x:t>
        </x:is>
      </x:c>
      <x:c r="G97" s="73" t="n"/>
      <x:c r="H97" s="67" t="n"/>
      <x:c r="I97" s="48" t="n"/>
      <x:c r="J97" s="48" t="n"/>
      <x:c r="K97" s="48" t="n"/>
      <x:c r="N97" t="n"/>
      <x:c r="O97" s="67" t="inlineStr">
        <x:is>
          <x:t xml:space="preserve">Evan (Auto)</x:t>
        </x:is>
      </x:c>
      <x:c r="P97" t="inlineStr">
        <x:is>
          <x:t xml:space="preserve">2026-03-19T00:20:00.937Z</x:t>
        </x:is>
      </x:c>
      <x:c r="Q97" t="n">
        <x:v>2</x:v>
      </x:c>
      <x:c r="R97" t="n">
        <x:v>2026</x:v>
      </x:c>
    </x:row>
    <x:row r="98" s="116" customFormat="1" ht="15.75" customHeight="1">
      <x:c r="A98" s="44" t="n">
        <x:v>46058</x:v>
      </x:c>
      <x:c r="B98" s="48" t="n"/>
      <x:c r="C98" s="48" t="inlineStr">
        <x:is>
          <x:t xml:space="preserve">Oscar </x:t>
        </x:is>
      </x:c>
      <x:c r="D98" s="34" t="inlineStr">
        <x:is>
          <x:t xml:space="preserve">Cold SMS</x:t>
        </x:is>
      </x:c>
      <x:c r="E98" s="34" t="inlineStr">
        <x:is>
          <x:t xml:space="preserve">Daniel</x:t>
        </x:is>
      </x:c>
      <x:c r="F98" s="34" t="inlineStr">
        <x:is>
          <x:t xml:space="preserve">Showed</x:t>
        </x:is>
      </x:c>
      <x:c r="G98" s="73" t="inlineStr">
        <x:is>
          <x:t xml:space="preserve">No Closed</x:t>
        </x:is>
      </x:c>
      <x:c r="H98" s="67" t="inlineStr">
        <x:is>
          <x:t xml:space="preserve">Max</x:t>
        </x:is>
      </x:c>
      <x:c r="I98" s="48" t="n"/>
      <x:c r="J98" s="48" t="n"/>
      <x:c r="K98" s="48" t="b">
        <x:v>0</x:v>
      </x:c>
      <x:c r="O98" s="67" t="inlineStr">
        <x:is>
          <x:t xml:space="preserve">Davi</x:t>
        </x:is>
      </x:c>
      <x:c r="Q98" t="n">
        <x:v>2</x:v>
      </x:c>
      <x:c r="R98" t="n">
        <x:v>2026</x:v>
      </x:c>
    </x:row>
    <x:row r="99" s="116" customFormat="1" ht="15.75" customHeight="1">
      <x:c r="A99" s="44" t="n">
        <x:v>46058</x:v>
      </x:c>
      <x:c r="B99" s="48" t="n"/>
      <x:c r="C99" s="48" t="inlineStr">
        <x:is>
          <x:t xml:space="preserve">Pedro Inc</x:t>
        </x:is>
      </x:c>
      <x:c r="D99" s="34" t="inlineStr">
        <x:is>
          <x:t xml:space="preserve">Cold SMS</x:t>
        </x:is>
      </x:c>
      <x:c r="E99" s="34" t="inlineStr">
        <x:is>
          <x:t xml:space="preserve">Randy</x:t>
        </x:is>
      </x:c>
      <x:c r="F99" s="34" t="inlineStr">
        <x:is>
          <x:t xml:space="preserve">Rescheduled</x:t>
        </x:is>
      </x:c>
      <x:c r="G99" s="73" t="inlineStr">
        <x:is>
          <x:t xml:space="preserve">No Closed</x:t>
        </x:is>
      </x:c>
      <x:c r="H99" s="67" t="inlineStr">
        <x:is>
          <x:t xml:space="preserve">Max</x:t>
        </x:is>
      </x:c>
      <x:c r="I99" s="48" t="n"/>
      <x:c r="J99" s="48" t="n"/>
      <x:c r="K99" s="48" t="b">
        <x:v>0</x:v>
      </x:c>
      <x:c r="M99" t="n"/>
      <x:c r="N99" t="n"/>
      <x:c r="O99" s="67" t="inlineStr">
        <x:is>
          <x:t xml:space="preserve">Davi</x:t>
        </x:is>
      </x:c>
      <x:c r="P99" t="n"/>
      <x:c r="Q99" t="n">
        <x:v>2</x:v>
      </x:c>
      <x:c r="R99" t="n">
        <x:v>2026</x:v>
      </x:c>
    </x:row>
    <x:row r="100" s="116" customFormat="1" ht="15.75" customHeight="1">
      <x:c r="A100" s="44" t="n">
        <x:v>46058</x:v>
      </x:c>
      <x:c r="B100" s="34" t="inlineStr">
        <x:is>
          <x:t xml:space="preserve">fwX61QedntD6UGPvTSJk</x:t>
        </x:is>
      </x:c>
      <x:c r="C100" s="78" t="inlineStr">
        <x:is>
          <x:t xml:space="preserve">Willy Romero</x:t>
        </x:is>
      </x:c>
      <x:c r="D100" s="34" t="inlineStr">
        <x:is>
          <x:t xml:space="preserve">Cold SMS</x:t>
        </x:is>
      </x:c>
      <x:c r="E100" s="34" t="inlineStr">
        <x:is>
          <x:t xml:space="preserve">Ads - No Setter</x:t>
        </x:is>
      </x:c>
      <x:c r="F100" s="34" t="inlineStr">
        <x:is>
          <x:t xml:space="preserve">Showed</x:t>
        </x:is>
      </x:c>
      <x:c r="G100" s="73" t="n"/>
      <x:c r="H100" s="67" t="n"/>
      <x:c r="I100" s="48" t="n"/>
      <x:c r="J100" s="48" t="n"/>
      <x:c r="K100" s="48" t="n"/>
      <x:c r="O100" s="67" t="inlineStr">
        <x:is>
          <x:t xml:space="preserve">Evan (Auto)</x:t>
        </x:is>
      </x:c>
      <x:c r="P100" s="48" t="inlineStr">
        <x:is>
          <x:t xml:space="preserve">2026-03-19T00:20:00.937Z</x:t>
        </x:is>
      </x:c>
      <x:c r="Q100" s="48" t="n">
        <x:v>2</x:v>
      </x:c>
      <x:c r="R100" s="48" t="n">
        <x:v>2026</x:v>
      </x:c>
    </x:row>
    <x:row r="101" s="116" customFormat="1" ht="15.75" customHeight="1">
      <x:c r="A101" s="44" t="n">
        <x:v>46058</x:v>
      </x:c>
      <x:c r="B101" s="34" t="n"/>
      <x:c r="C101" s="74" t="inlineStr">
        <x:is>
          <x:t xml:space="preserve">Willy Romero</x:t>
        </x:is>
      </x:c>
      <x:c r="D101" s="34" t="inlineStr">
        <x:is>
          <x:t xml:space="preserve">Cold SMS</x:t>
        </x:is>
      </x:c>
      <x:c r="E101" s="34" t="inlineStr">
        <x:is>
          <x:t xml:space="preserve">Eddie</x:t>
        </x:is>
      </x:c>
      <x:c r="F101" s="34" t="inlineStr">
        <x:is>
          <x:t xml:space="preserve">Showed</x:t>
        </x:is>
      </x:c>
      <x:c r="G101" s="73" t="inlineStr">
        <x:is>
          <x:t xml:space="preserve">No Closed</x:t>
        </x:is>
      </x:c>
      <x:c r="H101" s="67" t="inlineStr">
        <x:is>
          <x:t xml:space="preserve">Max</x:t>
        </x:is>
      </x:c>
      <x:c r="I101" s="48" t="n"/>
      <x:c r="J101" s="48" t="n"/>
      <x:c r="K101" s="48" t="b">
        <x:v>0</x:v>
      </x:c>
      <x:c r="O101" s="67" t="inlineStr">
        <x:is>
          <x:t xml:space="preserve">Davi</x:t>
        </x:is>
      </x:c>
      <x:c r="P101" s="48" t="n"/>
      <x:c r="Q101" s="48" t="n">
        <x:v>2</x:v>
      </x:c>
      <x:c r="R101" s="48" t="n">
        <x:v>2026</x:v>
      </x:c>
    </x:row>
    <x:row r="102" s="116" customFormat="1" ht="15.75" customHeight="1">
      <x:c r="A102" s="44" t="n">
        <x:v>46057</x:v>
      </x:c>
      <x:c r="B102" s="34" t="inlineStr">
        <x:is>
          <x:t xml:space="preserve">Cesar</x:t>
        </x:is>
      </x:c>
      <x:c r="C102" s="74" t="inlineStr">
        <x:is>
          <x:t xml:space="preserve">Cesar</x:t>
        </x:is>
      </x:c>
      <x:c r="D102" s="34" t="inlineStr">
        <x:is>
          <x:t xml:space="preserve">Cold SMS</x:t>
        </x:is>
      </x:c>
      <x:c r="E102" s="34" t="inlineStr">
        <x:is>
          <x:t xml:space="preserve">Eddie</x:t>
        </x:is>
      </x:c>
      <x:c r="F102" s="34" t="inlineStr">
        <x:is>
          <x:t xml:space="preserve">Showed</x:t>
        </x:is>
      </x:c>
      <x:c r="G102" s="73" t="inlineStr">
        <x:is>
          <x:t xml:space="preserve">Closed</x:t>
        </x:is>
      </x:c>
      <x:c r="H102" s="67" t="inlineStr">
        <x:is>
          <x:t xml:space="preserve">Max</x:t>
        </x:is>
      </x:c>
      <x:c r="I102" t="n">
        <x:v>4800</x:v>
      </x:c>
      <x:c r="J102" t="n">
        <x:v>4800</x:v>
      </x:c>
      <x:c r="K102" s="48" t="b">
        <x:v>0</x:v>
      </x:c>
      <x:c r="O102" s="67" t="inlineStr">
        <x:is>
          <x:t xml:space="preserve">Davi</x:t>
        </x:is>
      </x:c>
      <x:c r="P102" s="48" t="n"/>
      <x:c r="Q102" s="48" t="n">
        <x:v>2</x:v>
      </x:c>
      <x:c r="R102" s="48" t="n">
        <x:v>2026</x:v>
      </x:c>
    </x:row>
    <x:row r="103" s="116" customFormat="1" ht="15.75" customHeight="1">
      <x:c r="A103" s="44" t="n">
        <x:v>46057</x:v>
      </x:c>
      <x:c r="B103" s="34" t="inlineStr">
        <x:is>
          <x:t xml:space="preserve">Ls848orU1pw2Au8IEMFY</x:t>
        </x:is>
      </x:c>
      <x:c r="C103" s="34" t="inlineStr">
        <x:is>
          <x:t xml:space="preserve">Cesar Grullon</x:t>
        </x:is>
      </x:c>
      <x:c r="D103" s="34" t="inlineStr">
        <x:is>
          <x:t xml:space="preserve">Cold SMS</x:t>
        </x:is>
      </x:c>
      <x:c r="E103" s="34" t="inlineStr">
        <x:is>
          <x:t xml:space="preserve">Ads - No Setter</x:t>
        </x:is>
      </x:c>
      <x:c r="F103" s="34" t="inlineStr">
        <x:is>
          <x:t xml:space="preserve">Showed</x:t>
        </x:is>
      </x:c>
      <x:c r="G103" s="73" t="n"/>
      <x:c r="H103" s="67" t="n"/>
      <x:c r="K103" s="48" t="n"/>
      <x:c r="O103" s="67" t="inlineStr">
        <x:is>
          <x:t xml:space="preserve">Evan (Auto)</x:t>
        </x:is>
      </x:c>
      <x:c r="P103" s="48" t="inlineStr">
        <x:is>
          <x:t xml:space="preserve">2026-03-19T00:19:58.137Z</x:t>
        </x:is>
      </x:c>
      <x:c r="Q103" s="48" t="n">
        <x:v>2</x:v>
      </x:c>
      <x:c r="R103" s="48" t="n">
        <x:v>2026</x:v>
      </x:c>
    </x:row>
    <x:row r="104" s="116" customFormat="1" ht="15.75" customHeight="1">
      <x:c r="A104" s="44" t="n">
        <x:v>46057</x:v>
      </x:c>
      <x:c r="B104" s="34" t="inlineStr">
        <x:is>
          <x:t xml:space="preserve">tKTt877eAb3cgfc94KCd</x:t>
        </x:is>
      </x:c>
      <x:c r="C104" s="34" t="inlineStr">
        <x:is>
          <x:t xml:space="preserve">Fenelon</x:t>
        </x:is>
      </x:c>
      <x:c r="D104" s="34" t="inlineStr">
        <x:is>
          <x:t xml:space="preserve">Cold SMS</x:t>
        </x:is>
      </x:c>
      <x:c r="E104" s="34" t="inlineStr">
        <x:is>
          <x:t xml:space="preserve">Ads - No Setter</x:t>
        </x:is>
      </x:c>
      <x:c r="F104" s="34" t="inlineStr">
        <x:is>
          <x:t xml:space="preserve">Showed</x:t>
        </x:is>
      </x:c>
      <x:c r="G104" s="73" t="n"/>
      <x:c r="H104" s="67" t="n"/>
      <x:c r="I104" s="48" t="n"/>
      <x:c r="J104" s="48" t="n"/>
      <x:c r="K104" s="48" t="n"/>
      <x:c r="O104" s="67" t="inlineStr">
        <x:is>
          <x:t xml:space="preserve">Evan (Auto)</x:t>
        </x:is>
      </x:c>
      <x:c r="P104" s="48" t="inlineStr">
        <x:is>
          <x:t xml:space="preserve">2026-03-19T00:19:58.137Z</x:t>
        </x:is>
      </x:c>
      <x:c r="Q104" s="48" t="n">
        <x:v>2</x:v>
      </x:c>
      <x:c r="R104" s="48" t="n">
        <x:v>2026</x:v>
      </x:c>
    </x:row>
    <x:row r="105" s="116" customFormat="1" ht="15.75" customHeight="1">
      <x:c r="A105" s="44" t="n">
        <x:v>46057</x:v>
      </x:c>
      <x:c r="B105" t="inlineStr">
        <x:is>
          <x:t xml:space="preserve">Fenelon</x:t>
        </x:is>
      </x:c>
      <x:c r="C105" s="48" t="inlineStr">
        <x:is>
          <x:t xml:space="preserve">Fenelon</x:t>
        </x:is>
      </x:c>
      <x:c r="D105" s="34" t="inlineStr">
        <x:is>
          <x:t xml:space="preserve">Cold SMS</x:t>
        </x:is>
      </x:c>
      <x:c r="E105" s="34" t="inlineStr">
        <x:is>
          <x:t xml:space="preserve">Eddie</x:t>
        </x:is>
      </x:c>
      <x:c r="F105" s="34" t="inlineStr">
        <x:is>
          <x:t xml:space="preserve">Showed</x:t>
        </x:is>
      </x:c>
      <x:c r="G105" s="73" t="inlineStr">
        <x:is>
          <x:t xml:space="preserve">No Closed</x:t>
        </x:is>
      </x:c>
      <x:c r="H105" s="67" t="inlineStr">
        <x:is>
          <x:t xml:space="preserve">Max</x:t>
        </x:is>
      </x:c>
      <x:c r="I105" s="48" t="n"/>
      <x:c r="J105" s="48" t="n"/>
      <x:c r="K105" s="48" t="b">
        <x:v>0</x:v>
      </x:c>
      <x:c r="O105" s="48" t="inlineStr">
        <x:is>
          <x:t xml:space="preserve">Davi</x:t>
        </x:is>
      </x:c>
      <x:c r="P105" s="48" t="n"/>
      <x:c r="Q105" s="48" t="n">
        <x:v>2</x:v>
      </x:c>
      <x:c r="R105" s="48" t="n">
        <x:v>2026</x:v>
      </x:c>
    </x:row>
    <x:row r="106" s="116" customFormat="1" ht="15.75" customHeight="1">
      <x:c r="A106" s="44" t="n">
        <x:v>46057</x:v>
      </x:c>
      <x:c r="B106" t="inlineStr">
        <x:is>
          <x:t xml:space="preserve">Jordan</x:t>
        </x:is>
      </x:c>
      <x:c r="C106" s="48" t="inlineStr">
        <x:is>
          <x:t xml:space="preserve">Jordan</x:t>
        </x:is>
      </x:c>
      <x:c r="D106" s="34" t="inlineStr">
        <x:is>
          <x:t xml:space="preserve">Cold SMS</x:t>
        </x:is>
      </x:c>
      <x:c r="E106" s="34" t="inlineStr">
        <x:is>
          <x:t xml:space="preserve">Daniel</x:t>
        </x:is>
      </x:c>
      <x:c r="F106" s="34" t="inlineStr">
        <x:is>
          <x:t xml:space="preserve">No-Show</x:t>
        </x:is>
      </x:c>
      <x:c r="G106" s="73" t="n"/>
      <x:c r="H106" s="67" t="inlineStr">
        <x:is>
          <x:t xml:space="preserve">Max</x:t>
        </x:is>
      </x:c>
      <x:c r="I106" s="48" t="n"/>
      <x:c r="J106" s="48" t="n"/>
      <x:c r="K106" s="48" t="b">
        <x:v>0</x:v>
      </x:c>
      <x:c r="O106" s="48" t="inlineStr">
        <x:is>
          <x:t xml:space="preserve">Davi</x:t>
        </x:is>
      </x:c>
      <x:c r="P106" s="48" t="n"/>
      <x:c r="Q106" s="48" t="n">
        <x:v>2</x:v>
      </x:c>
      <x:c r="R106" s="48" t="n">
        <x:v>2026</x:v>
      </x:c>
    </x:row>
    <x:row r="107" s="116" customFormat="1" ht="15.75" customHeight="1">
      <x:c r="A107" s="44" t="n">
        <x:v>46057</x:v>
      </x:c>
      <x:c r="B107" t="inlineStr">
        <x:is>
          <x:t xml:space="preserve">5u4zVO6zcwoudlxXYv4V</x:t>
        </x:is>
      </x:c>
      <x:c r="C107" s="48" t="inlineStr">
        <x:is>
          <x:t xml:space="preserve">Jordan Construction Services</x:t>
        </x:is>
      </x:c>
      <x:c r="D107" s="34" t="inlineStr">
        <x:is>
          <x:t xml:space="preserve">Cold SMS</x:t>
        </x:is>
      </x:c>
      <x:c r="E107" s="34" t="inlineStr">
        <x:is>
          <x:t xml:space="preserve">Ads - No Setter</x:t>
        </x:is>
      </x:c>
      <x:c r="F107" s="34" t="inlineStr">
        <x:is>
          <x:t xml:space="preserve">No-Show</x:t>
        </x:is>
      </x:c>
      <x:c r="G107" s="73" t="n"/>
      <x:c r="H107" s="67" t="n"/>
      <x:c r="K107" s="48" t="n"/>
      <x:c r="L107" s="48" t="n"/>
      <x:c r="O107" s="48" t="inlineStr">
        <x:is>
          <x:t xml:space="preserve">Evan (Auto)</x:t>
        </x:is>
      </x:c>
      <x:c r="P107" s="48" t="inlineStr">
        <x:is>
          <x:t xml:space="preserve">2026-03-19T00:19:58.137Z</x:t>
        </x:is>
      </x:c>
      <x:c r="Q107" s="48" t="n">
        <x:v>2</x:v>
      </x:c>
      <x:c r="R107" s="48" t="n">
        <x:v>2026</x:v>
      </x:c>
    </x:row>
    <x:row r="108" s="116" customFormat="1" ht="15.75" customHeight="1">
      <x:c r="A108" s="44" t="n">
        <x:v>46056</x:v>
      </x:c>
      <x:c r="C108" s="48" t="inlineStr">
        <x:is>
          <x:t xml:space="preserve">George Designer</x:t>
        </x:is>
      </x:c>
      <x:c r="D108" s="34" t="inlineStr">
        <x:is>
          <x:t xml:space="preserve">Cold SMS</x:t>
        </x:is>
      </x:c>
      <x:c r="E108" s="34" t="inlineStr">
        <x:is>
          <x:t xml:space="preserve">Eddie</x:t>
        </x:is>
      </x:c>
      <x:c r="F108" s="34" t="inlineStr">
        <x:is>
          <x:t xml:space="preserve">Showed</x:t>
        </x:is>
      </x:c>
      <x:c r="G108" s="73" t="inlineStr">
        <x:is>
          <x:t xml:space="preserve">Closed</x:t>
        </x:is>
      </x:c>
      <x:c r="H108" s="67" t="inlineStr">
        <x:is>
          <x:t xml:space="preserve">Max</x:t>
        </x:is>
      </x:c>
      <x:c r="I108" t="n">
        <x:v>2000</x:v>
      </x:c>
      <x:c r="J108" t="n">
        <x:v>8000</x:v>
      </x:c>
      <x:c r="K108" s="48" t="b">
        <x:v>0</x:v>
      </x:c>
      <x:c r="O108" s="48" t="inlineStr">
        <x:is>
          <x:t xml:space="preserve">Davi</x:t>
        </x:is>
      </x:c>
      <x:c r="P108" s="48" t="n"/>
      <x:c r="Q108" s="48" t="n">
        <x:v>2</x:v>
      </x:c>
      <x:c r="R108" s="48" t="n">
        <x:v>2026</x:v>
      </x:c>
    </x:row>
    <x:row r="109" s="116" customFormat="1" ht="15.75" customHeight="1">
      <x:c r="A109" s="44" t="n">
        <x:v>46056</x:v>
      </x:c>
      <x:c r="B109" s="48" t="inlineStr">
        <x:is>
          <x:t xml:space="preserve">1lcYkFLe56RtpC1lCGlc</x:t>
        </x:is>
      </x:c>
      <x:c r="C109" s="48" t="inlineStr">
        <x:is>
          <x:t xml:space="preserve">George Designer Homes</x:t>
        </x:is>
      </x:c>
      <x:c r="D109" s="34" t="inlineStr">
        <x:is>
          <x:t xml:space="preserve">Cold SMS</x:t>
        </x:is>
      </x:c>
      <x:c r="E109" s="34" t="inlineStr">
        <x:is>
          <x:t xml:space="preserve">Ads - No Setter</x:t>
        </x:is>
      </x:c>
      <x:c r="F109" s="34" t="inlineStr">
        <x:is>
          <x:t xml:space="preserve">No-Show</x:t>
        </x:is>
      </x:c>
      <x:c r="G109" s="73" t="n"/>
      <x:c r="H109" s="67" t="n"/>
      <x:c r="K109" s="48" t="n"/>
      <x:c r="M109" s="48" t="n"/>
      <x:c r="O109" s="48" t="inlineStr">
        <x:is>
          <x:t xml:space="preserve">Evan (Auto)</x:t>
        </x:is>
      </x:c>
      <x:c r="P109" s="48" t="inlineStr">
        <x:is>
          <x:t xml:space="preserve">2026-03-19T00:19:56.004Z</x:t>
        </x:is>
      </x:c>
      <x:c r="Q109" s="48" t="n">
        <x:v>2</x:v>
      </x:c>
      <x:c r="R109" s="48" t="n">
        <x:v>2026</x:v>
      </x:c>
    </x:row>
    <x:row r="110" s="116" customFormat="1" ht="15.75" customHeight="1">
      <x:c r="A110" s="44" t="n">
        <x:v>46056</x:v>
      </x:c>
      <x:c r="B110" s="48" t="n"/>
      <x:c r="C110" s="48" t="inlineStr">
        <x:is>
          <x:t xml:space="preserve">Impromptu Google Meet Meeting</x:t>
        </x:is>
      </x:c>
      <x:c r="D110" s="34" t="inlineStr">
        <x:is>
          <x:t xml:space="preserve">Unknown</x:t>
        </x:is>
      </x:c>
      <x:c r="E110" s="34" t="n"/>
      <x:c r="F110" s="34" t="n"/>
      <x:c r="G110" s="73" t="n"/>
      <x:c r="H110" s="67" t="n"/>
      <x:c r="K110" s="48" t="n"/>
      <x:c r="M110" s="48" t="inlineStr">
        <x:is>
          <x:t xml:space="preserve">Added from Fathom Calls — Uncertain Only (sales yes audit)</x:t>
        </x:is>
      </x:c>
      <x:c r="N110" t="inlineStr">
        <x:is>
          <x:t xml:space="preserve">https://fathom.video/share/n5FF2xMCBJKHBndRsCqLyexQhhWxUQkx</x:t>
        </x:is>
      </x:c>
      <x:c r="O110" s="48" t="inlineStr">
        <x:is>
          <x:t xml:space="preserve">ChatGPT</x:t>
        </x:is>
      </x:c>
      <x:c r="P110" s="48" t="inlineStr">
        <x:is>
          <x:t xml:space="preserve">2026-03-19T02:00:57Z</x:t>
        </x:is>
      </x:c>
      <x:c r="Q110" s="48" t="n">
        <x:v>2</x:v>
      </x:c>
      <x:c r="R110" s="48" t="n">
        <x:v>2026</x:v>
      </x:c>
    </x:row>
    <x:row r="111" s="116" customFormat="1" ht="15.75" customHeight="1">
      <x:c r="A111" s="44" t="n">
        <x:v>46056</x:v>
      </x:c>
      <x:c r="B111" s="48" t="inlineStr">
        <x:is>
          <x:t xml:space="preserve">NP124KNqmuYhLPloYbVw</x:t>
        </x:is>
      </x:c>
      <x:c r="C111" s="48" t="inlineStr">
        <x:is>
          <x:t xml:space="preserve">Justin</x:t>
        </x:is>
      </x:c>
      <x:c r="D111" s="34" t="inlineStr">
        <x:is>
          <x:t xml:space="preserve">Cold SMS</x:t>
        </x:is>
      </x:c>
      <x:c r="E111" s="34" t="inlineStr">
        <x:is>
          <x:t xml:space="preserve">Ads - No Setter</x:t>
        </x:is>
      </x:c>
      <x:c r="F111" s="34" t="inlineStr">
        <x:is>
          <x:t xml:space="preserve">No-Show</x:t>
        </x:is>
      </x:c>
      <x:c r="G111" s="73" t="n"/>
      <x:c r="H111" s="67" t="n"/>
      <x:c r="K111" s="48" t="n"/>
      <x:c r="O111" s="48" t="inlineStr">
        <x:is>
          <x:t xml:space="preserve">Evan (Auto)</x:t>
        </x:is>
      </x:c>
      <x:c r="P111" s="48" t="inlineStr">
        <x:is>
          <x:t xml:space="preserve">2026-03-19T00:19:56.004Z</x:t>
        </x:is>
      </x:c>
      <x:c r="Q111" s="48" t="n">
        <x:v>2</x:v>
      </x:c>
      <x:c r="R111" s="48" t="n">
        <x:v>2026</x:v>
      </x:c>
    </x:row>
    <x:row r="112" s="116" customFormat="1" ht="15.75" customHeight="1">
      <x:c r="A112" s="44" t="n">
        <x:v>46056</x:v>
      </x:c>
      <x:c r="B112" s="48" t="n"/>
      <x:c r="C112" s="48" t="inlineStr">
        <x:is>
          <x:t xml:space="preserve">Justin</x:t>
        </x:is>
      </x:c>
      <x:c r="D112" s="34" t="inlineStr">
        <x:is>
          <x:t xml:space="preserve">Cold SMS</x:t>
        </x:is>
      </x:c>
      <x:c r="E112" s="34" t="inlineStr">
        <x:is>
          <x:t xml:space="preserve">Randy</x:t>
        </x:is>
      </x:c>
      <x:c r="F112" s="34" t="inlineStr">
        <x:is>
          <x:t xml:space="preserve">Cancelled/Rejected</x:t>
        </x:is>
      </x:c>
      <x:c r="G112" s="73" t="n"/>
      <x:c r="H112" s="67" t="inlineStr">
        <x:is>
          <x:t xml:space="preserve">Max</x:t>
        </x:is>
      </x:c>
      <x:c r="K112" s="48" t="b">
        <x:v>0</x:v>
      </x:c>
      <x:c r="O112" s="48" t="inlineStr">
        <x:is>
          <x:t xml:space="preserve">Davi</x:t>
        </x:is>
      </x:c>
      <x:c r="P112" s="48" t="n"/>
      <x:c r="Q112" s="48" t="n">
        <x:v>2</x:v>
      </x:c>
      <x:c r="R112" s="48" t="n">
        <x:v>2026</x:v>
      </x:c>
    </x:row>
    <x:row r="113" s="116" customFormat="1" ht="15.75" customHeight="1">
      <x:c r="A113" s="44" t="n">
        <x:v>46056</x:v>
      </x:c>
      <x:c r="B113" s="48" t="n"/>
      <x:c r="C113" s="48" t="inlineStr">
        <x:is>
          <x:t xml:space="preserve">Kfir Segev</x:t>
        </x:is>
      </x:c>
      <x:c r="D113" s="34" t="inlineStr">
        <x:is>
          <x:t xml:space="preserve">Cold SMS</x:t>
        </x:is>
      </x:c>
      <x:c r="E113" s="34" t="inlineStr">
        <x:is>
          <x:t xml:space="preserve">Randy</x:t>
        </x:is>
      </x:c>
      <x:c r="F113" s="34" t="inlineStr">
        <x:is>
          <x:t xml:space="preserve">Showed</x:t>
        </x:is>
      </x:c>
      <x:c r="G113" s="73" t="inlineStr">
        <x:is>
          <x:t xml:space="preserve">Closed</x:t>
        </x:is>
      </x:c>
      <x:c r="H113" s="67" t="inlineStr">
        <x:is>
          <x:t xml:space="preserve">Max</x:t>
        </x:is>
      </x:c>
      <x:c r="I113" t="n">
        <x:v>1000</x:v>
      </x:c>
      <x:c r="J113" t="n">
        <x:v>4000</x:v>
      </x:c>
      <x:c r="K113" s="48" t="b">
        <x:v>0</x:v>
      </x:c>
      <x:c r="M113" s="48" t="n"/>
      <x:c r="O113" s="48" t="inlineStr">
        <x:is>
          <x:t xml:space="preserve">Davi</x:t>
        </x:is>
      </x:c>
      <x:c r="P113" s="48" t="n"/>
      <x:c r="Q113" s="48" t="n">
        <x:v>2</x:v>
      </x:c>
      <x:c r="R113" s="48" t="n">
        <x:v>2026</x:v>
      </x:c>
    </x:row>
    <x:row r="114" s="116" customFormat="1" ht="15.75" customHeight="1">
      <x:c r="A114" s="44" t="n">
        <x:v>46056</x:v>
      </x:c>
      <x:c r="B114" s="48" t="n"/>
      <x:c r="C114" s="48" t="inlineStr">
        <x:is>
          <x:t xml:space="preserve">Pedro Inc</x:t>
        </x:is>
      </x:c>
      <x:c r="D114" s="34" t="inlineStr">
        <x:is>
          <x:t xml:space="preserve">Cold SMS</x:t>
        </x:is>
      </x:c>
      <x:c r="E114" s="34" t="inlineStr">
        <x:is>
          <x:t xml:space="preserve">Randy</x:t>
        </x:is>
      </x:c>
      <x:c r="F114" s="34" t="inlineStr">
        <x:is>
          <x:t xml:space="preserve">Showed</x:t>
        </x:is>
      </x:c>
      <x:c r="G114" s="73" t="inlineStr">
        <x:is>
          <x:t xml:space="preserve">Follow-up required</x:t>
        </x:is>
      </x:c>
      <x:c r="H114" s="67" t="inlineStr">
        <x:is>
          <x:t xml:space="preserve">Max</x:t>
        </x:is>
      </x:c>
      <x:c r="K114" s="48" t="b">
        <x:v>0</x:v>
      </x:c>
      <x:c r="M114" s="48" t="n"/>
      <x:c r="N114" t="inlineStr">
        <x:is>
          <x:t xml:space="preserve">https://fathom.video/share/pZNyDsoeojkQYb7jj3y49akPDyJLbPxU</x:t>
        </x:is>
      </x:c>
      <x:c r="O114" s="48" t="inlineStr">
        <x:is>
          <x:t xml:space="preserve">Davi</x:t>
        </x:is>
      </x:c>
      <x:c r="P114" s="48" t="n"/>
      <x:c r="Q114" s="48" t="n">
        <x:v>2</x:v>
      </x:c>
      <x:c r="R114" s="48" t="n">
        <x:v>2026</x:v>
      </x:c>
    </x:row>
    <x:row r="115" s="116" customFormat="1" ht="15.75" customHeight="1">
      <x:c r="A115" s="44" t="n">
        <x:v>46056</x:v>
      </x:c>
      <x:c r="B115" s="48" t="n"/>
      <x:c r="C115" s="48" t="inlineStr">
        <x:is>
          <x:t xml:space="preserve">Tim Home Repair</x:t>
        </x:is>
      </x:c>
      <x:c r="D115" s="34" t="inlineStr">
        <x:is>
          <x:t xml:space="preserve">Cold SMS</x:t>
        </x:is>
      </x:c>
      <x:c r="E115" s="34" t="inlineStr">
        <x:is>
          <x:t xml:space="preserve">Daniel</x:t>
        </x:is>
      </x:c>
      <x:c r="F115" s="34" t="inlineStr">
        <x:is>
          <x:t xml:space="preserve">Cancelled/Rejected</x:t>
        </x:is>
      </x:c>
      <x:c r="G115" s="73" t="n"/>
      <x:c r="H115" s="67" t="inlineStr">
        <x:is>
          <x:t xml:space="preserve">Max</x:t>
        </x:is>
      </x:c>
      <x:c r="K115" s="48" t="b">
        <x:v>0</x:v>
      </x:c>
      <x:c r="M115" s="48" t="n"/>
      <x:c r="O115" s="48" t="inlineStr">
        <x:is>
          <x:t xml:space="preserve">Davi</x:t>
        </x:is>
      </x:c>
      <x:c r="P115" s="48" t="n"/>
      <x:c r="Q115" s="48" t="n">
        <x:v>2</x:v>
      </x:c>
      <x:c r="R115" s="48" t="n">
        <x:v>2026</x:v>
      </x:c>
    </x:row>
    <x:row r="116" s="116" customFormat="1" ht="15.75" customHeight="1">
      <x:c r="A116" s="44" t="n">
        <x:v>46056</x:v>
      </x:c>
      <x:c r="B116" s="48" t="inlineStr">
        <x:is>
          <x:t xml:space="preserve">Chac68YwZcqeVIJRPvk2</x:t>
        </x:is>
      </x:c>
      <x:c r="C116" s="48" t="inlineStr">
        <x:is>
          <x:t xml:space="preserve">Tim Home Repair And Renovations Llc.</x:t>
        </x:is>
      </x:c>
      <x:c r="D116" s="34" t="inlineStr">
        <x:is>
          <x:t xml:space="preserve">Cold SMS</x:t>
        </x:is>
      </x:c>
      <x:c r="E116" s="34" t="inlineStr">
        <x:is>
          <x:t xml:space="preserve">Ads - No Setter</x:t>
        </x:is>
      </x:c>
      <x:c r="F116" s="34" t="inlineStr">
        <x:is>
          <x:t xml:space="preserve">No-Show</x:t>
        </x:is>
      </x:c>
      <x:c r="G116" s="73" t="n"/>
      <x:c r="H116" s="67" t="n"/>
      <x:c r="K116" s="48" t="n"/>
      <x:c r="L116" s="48" t="n"/>
      <x:c r="M116" s="48" t="n"/>
      <x:c r="O116" s="48" t="inlineStr">
        <x:is>
          <x:t xml:space="preserve">Evan (Auto)</x:t>
        </x:is>
      </x:c>
      <x:c r="P116" s="48" t="inlineStr">
        <x:is>
          <x:t xml:space="preserve">2026-03-19T00:19:56.004Z</x:t>
        </x:is>
      </x:c>
      <x:c r="Q116" s="48" t="n">
        <x:v>2</x:v>
      </x:c>
      <x:c r="R116" s="48" t="n">
        <x:v>2026</x:v>
      </x:c>
    </x:row>
    <x:row r="117" s="116" customFormat="1" ht="15.75" customHeight="1">
      <x:c r="A117" s="44" t="n">
        <x:v>46055</x:v>
      </x:c>
      <x:c r="B117" s="48" t="inlineStr">
        <x:is>
          <x:t xml:space="preserve">26IPUW7AwbZJMZOycAYJ</x:t>
        </x:is>
      </x:c>
      <x:c r="C117" s="48" t="inlineStr">
        <x:is>
          <x:t xml:space="preserve">Adolfo Solutions</x:t>
        </x:is>
      </x:c>
      <x:c r="D117" s="34" t="inlineStr">
        <x:is>
          <x:t xml:space="preserve">Cold SMS</x:t>
        </x:is>
      </x:c>
      <x:c r="E117" s="34" t="inlineStr">
        <x:is>
          <x:t xml:space="preserve">Ads - No Setter</x:t>
        </x:is>
      </x:c>
      <x:c r="F117" s="34" t="inlineStr">
        <x:is>
          <x:t xml:space="preserve">No-Show</x:t>
        </x:is>
      </x:c>
      <x:c r="G117" s="73" t="n"/>
      <x:c r="H117" s="67" t="n"/>
      <x:c r="K117" s="48" t="n"/>
      <x:c r="L117" s="48" t="n"/>
      <x:c r="M117" s="48" t="n"/>
      <x:c r="O117" s="48" t="inlineStr">
        <x:is>
          <x:t xml:space="preserve">Evan (Auto)</x:t>
        </x:is>
      </x:c>
      <x:c r="P117" s="48" t="inlineStr">
        <x:is>
          <x:t xml:space="preserve">2026-03-19T00:19:53.879Z</x:t>
        </x:is>
      </x:c>
      <x:c r="Q117" s="48" t="n">
        <x:v>2</x:v>
      </x:c>
      <x:c r="R117" s="48" t="n">
        <x:v>2026</x:v>
      </x:c>
    </x:row>
    <x:row r="118" s="116" customFormat="1" ht="15.75" customHeight="1">
      <x:c r="A118" s="44" t="n">
        <x:v>46055</x:v>
      </x:c>
      <x:c r="B118" s="48" t="n"/>
      <x:c r="C118" s="48" t="inlineStr">
        <x:is>
          <x:t xml:space="preserve">Adolfo Solutions</x:t>
        </x:is>
      </x:c>
      <x:c r="D118" s="34" t="inlineStr">
        <x:is>
          <x:t xml:space="preserve">Cold SMS</x:t>
        </x:is>
      </x:c>
      <x:c r="E118" s="34" t="inlineStr">
        <x:is>
          <x:t xml:space="preserve">Daniel</x:t>
        </x:is>
      </x:c>
      <x:c r="F118" s="34" t="inlineStr">
        <x:is>
          <x:t xml:space="preserve">No-Show</x:t>
        </x:is>
      </x:c>
      <x:c r="G118" s="73" t="n"/>
      <x:c r="H118" s="67" t="inlineStr">
        <x:is>
          <x:t xml:space="preserve">Max</x:t>
        </x:is>
      </x:c>
      <x:c r="K118" s="48" t="b">
        <x:v>0</x:v>
      </x:c>
      <x:c r="O118" s="48" t="inlineStr">
        <x:is>
          <x:t xml:space="preserve">Davi</x:t>
        </x:is>
      </x:c>
      <x:c r="P118" s="48" t="inlineStr">
        <x:is>
          <x:t xml:space="preserve">2026-03-18T15:57:11.018Z</x:t>
        </x:is>
      </x:c>
      <x:c r="Q118" s="48" t="n">
        <x:v>3</x:v>
      </x:c>
      <x:c r="R118" s="48" t="n">
        <x:v>2026</x:v>
      </x:c>
    </x:row>
    <x:row r="119" s="116" customFormat="1" ht="15.75" customHeight="1">
      <x:c r="A119" s="44" t="n">
        <x:v>46055</x:v>
      </x:c>
      <x:c r="B119" s="48" t="n"/>
      <x:c r="C119" s="48" t="inlineStr">
        <x:is>
          <x:t xml:space="preserve">Mario Design</x:t>
        </x:is>
      </x:c>
      <x:c r="D119" s="34" t="inlineStr">
        <x:is>
          <x:t xml:space="preserve">Cold SMS</x:t>
        </x:is>
      </x:c>
      <x:c r="E119" s="34" t="inlineStr">
        <x:is>
          <x:t xml:space="preserve">Randy</x:t>
        </x:is>
      </x:c>
      <x:c r="F119" s="34" t="inlineStr">
        <x:is>
          <x:t xml:space="preserve">No-Show</x:t>
        </x:is>
      </x:c>
      <x:c r="G119" s="73" t="n"/>
      <x:c r="H119" s="67" t="inlineStr">
        <x:is>
          <x:t xml:space="preserve">Max</x:t>
        </x:is>
      </x:c>
      <x:c r="K119" s="48" t="b">
        <x:v>0</x:v>
      </x:c>
      <x:c r="O119" s="48" t="inlineStr">
        <x:is>
          <x:t xml:space="preserve">Davi</x:t>
        </x:is>
      </x:c>
      <x:c r="P119" s="48" t="inlineStr">
        <x:is>
          <x:t xml:space="preserve">2026-03-18T15:57:11.018Z</x:t>
        </x:is>
      </x:c>
      <x:c r="Q119" s="48" t="n">
        <x:v>3</x:v>
      </x:c>
      <x:c r="R119" s="48" t="n">
        <x:v>2026</x:v>
      </x:c>
    </x:row>
    <x:row r="120" s="116" customFormat="1" ht="15.75" customHeight="1">
      <x:c r="A120" s="44" t="n">
        <x:v>46055</x:v>
      </x:c>
      <x:c r="B120" s="48" t="inlineStr">
        <x:is>
          <x:t xml:space="preserve">X3T7gLJSmkzLNmVbaYLE</x:t>
        </x:is>
      </x:c>
      <x:c r="C120" s="48" t="inlineStr">
        <x:is>
          <x:t xml:space="preserve">Mario Design Planning And Construction</x:t>
        </x:is>
      </x:c>
      <x:c r="D120" s="34" t="inlineStr">
        <x:is>
          <x:t xml:space="preserve">Cold SMS</x:t>
        </x:is>
      </x:c>
      <x:c r="E120" s="34" t="inlineStr">
        <x:is>
          <x:t xml:space="preserve">Ads - No Setter</x:t>
        </x:is>
      </x:c>
      <x:c r="F120" s="34" t="inlineStr">
        <x:is>
          <x:t xml:space="preserve">No-Show</x:t>
        </x:is>
      </x:c>
      <x:c r="G120" s="73" t="n"/>
      <x:c r="H120" s="67" t="n"/>
      <x:c r="K120" s="48" t="n"/>
      <x:c r="M120" s="48" t="n"/>
      <x:c r="O120" s="48" t="inlineStr">
        <x:is>
          <x:t xml:space="preserve">Evan (Auto)</x:t>
        </x:is>
      </x:c>
      <x:c r="P120" s="48" t="inlineStr">
        <x:is>
          <x:t xml:space="preserve">2026-03-19T00:19:53.879Z</x:t>
        </x:is>
      </x:c>
      <x:c r="Q120" s="48" t="n">
        <x:v>2</x:v>
      </x:c>
      <x:c r="R120" s="48" t="n">
        <x:v>2026</x:v>
      </x:c>
    </x:row>
    <x:row r="121" s="116" customFormat="1" ht="15.75" customHeight="1">
      <x:c r="A121" s="44" t="n">
        <x:v>46055</x:v>
      </x:c>
      <x:c r="B121" s="48" t="inlineStr">
        <x:is>
          <x:t xml:space="preserve">LocFKVHlEKsxDRT9NGzK</x:t>
        </x:is>
      </x:c>
      <x:c r="C121" s="48" t="inlineStr">
        <x:is>
          <x:t xml:space="preserve">Mike Aiello</x:t>
        </x:is>
      </x:c>
      <x:c r="D121" s="34" t="inlineStr">
        <x:is>
          <x:t xml:space="preserve">Cold SMS</x:t>
        </x:is>
      </x:c>
      <x:c r="E121" s="34" t="inlineStr">
        <x:is>
          <x:t xml:space="preserve">Ads - No Setter</x:t>
        </x:is>
      </x:c>
      <x:c r="F121" s="34" t="inlineStr">
        <x:is>
          <x:t xml:space="preserve">No-Show</x:t>
        </x:is>
      </x:c>
      <x:c r="G121" s="73" t="n"/>
      <x:c r="H121" s="67" t="n"/>
      <x:c r="K121" s="48" t="n"/>
      <x:c r="M121" s="48" t="n"/>
      <x:c r="N121" t="inlineStr">
        <x:is>
          <x:t xml:space="preserve">https://fathom.video/share/_y4G5p-KpsyzVmg4N8aoC2BDDpoY5zxt</x:t>
        </x:is>
      </x:c>
      <x:c r="O121" s="48" t="inlineStr">
        <x:is>
          <x:t xml:space="preserve">Evan (Auto)</x:t>
        </x:is>
      </x:c>
      <x:c r="P121" s="48" t="inlineStr">
        <x:is>
          <x:t xml:space="preserve">2026-03-19T00:19:53.879Z</x:t>
        </x:is>
      </x:c>
      <x:c r="Q121" s="48" t="n">
        <x:v>2</x:v>
      </x:c>
      <x:c r="R121" s="48" t="n">
        <x:v>2026</x:v>
      </x:c>
    </x:row>
    <x:row r="122" s="116" customFormat="1" ht="15.75" customHeight="1">
      <x:c r="A122" s="44" t="n">
        <x:v>46055</x:v>
      </x:c>
      <x:c r="B122" s="48" t="n"/>
      <x:c r="C122" s="48" t="inlineStr">
        <x:is>
          <x:t xml:space="preserve">Mike Aiello</x:t>
        </x:is>
      </x:c>
      <x:c r="D122" s="34" t="inlineStr">
        <x:is>
          <x:t xml:space="preserve">Cold SMS</x:t>
        </x:is>
      </x:c>
      <x:c r="E122" s="34" t="inlineStr">
        <x:is>
          <x:t xml:space="preserve">Daniel</x:t>
        </x:is>
      </x:c>
      <x:c r="F122" s="34" t="inlineStr">
        <x:is>
          <x:t xml:space="preserve">Showed</x:t>
        </x:is>
      </x:c>
      <x:c r="G122" s="73" t="inlineStr">
        <x:is>
          <x:t xml:space="preserve">Follow-up required</x:t>
        </x:is>
      </x:c>
      <x:c r="H122" s="67" t="inlineStr">
        <x:is>
          <x:t xml:space="preserve">Max</x:t>
        </x:is>
      </x:c>
      <x:c r="K122" s="48" t="b">
        <x:v>1</x:v>
      </x:c>
      <x:c r="N122" t="inlineStr">
        <x:is>
          <x:t xml:space="preserve">https://fathom.video/share/qjZ7dg7XDiPs9DMFrnPmsFrxYREmW1ve</x:t>
        </x:is>
      </x:c>
      <x:c r="O122" s="48" t="inlineStr">
        <x:is>
          <x:t xml:space="preserve">Davi</x:t>
        </x:is>
      </x:c>
      <x:c r="P122" s="48" t="inlineStr">
        <x:is>
          <x:t xml:space="preserve">2026-03-18T15:57:11.018Z</x:t>
        </x:is>
      </x:c>
      <x:c r="Q122" s="48" t="n">
        <x:v>3</x:v>
      </x:c>
      <x:c r="R122" s="48" t="n">
        <x:v>2026</x:v>
      </x:c>
    </x:row>
    <x:row r="123" s="116" customFormat="1" ht="15.75" customHeight="1">
      <x:c r="A123" s="44" t="n">
        <x:v>46055</x:v>
      </x:c>
      <x:c r="B123" s="48" t="inlineStr">
        <x:is>
          <x:t xml:space="preserve">Zb6gzTjqxmZvj0KiBtEn</x:t>
        </x:is>
      </x:c>
      <x:c r="C123" s="48" t="inlineStr">
        <x:is>
          <x:t xml:space="preserve">Nate Plus</x:t>
        </x:is>
      </x:c>
      <x:c r="D123" s="34" t="inlineStr">
        <x:is>
          <x:t xml:space="preserve">Cold SMS</x:t>
        </x:is>
      </x:c>
      <x:c r="E123" s="34" t="inlineStr">
        <x:is>
          <x:t xml:space="preserve">Ads - No Setter</x:t>
        </x:is>
      </x:c>
      <x:c r="F123" s="34" t="inlineStr">
        <x:is>
          <x:t xml:space="preserve">No-Show</x:t>
        </x:is>
      </x:c>
      <x:c r="G123" s="73" t="n"/>
      <x:c r="H123" s="67" t="n"/>
      <x:c r="K123" s="48" t="n"/>
      <x:c r="M123" s="48" t="n"/>
      <x:c r="N123" t="inlineStr">
        <x:is>
          <x:t xml:space="preserve">https://fathom.video/share/diGfqm3EYizskoqTn4-5kNrRSUshT_tX</x:t>
        </x:is>
      </x:c>
      <x:c r="O123" s="48" t="inlineStr">
        <x:is>
          <x:t xml:space="preserve">Evan (Auto)</x:t>
        </x:is>
      </x:c>
      <x:c r="P123" s="48" t="inlineStr">
        <x:is>
          <x:t xml:space="preserve">2026-03-19T00:19:53.879Z</x:t>
        </x:is>
      </x:c>
      <x:c r="Q123" s="48" t="n">
        <x:v>2</x:v>
      </x:c>
      <x:c r="R123" s="48" t="n">
        <x:v>2026</x:v>
      </x:c>
    </x:row>
    <x:row r="124" s="116" customFormat="1" ht="15.75" customHeight="1">
      <x:c r="A124" s="44" t="n">
        <x:v>46055</x:v>
      </x:c>
      <x:c r="B124" s="48" t="n"/>
      <x:c r="C124" s="48" t="inlineStr">
        <x:is>
          <x:t xml:space="preserve">Nate Plus</x:t>
        </x:is>
      </x:c>
      <x:c r="D124" s="34" t="inlineStr">
        <x:is>
          <x:t xml:space="preserve">Cold SMS</x:t>
        </x:is>
      </x:c>
      <x:c r="E124" s="34" t="inlineStr">
        <x:is>
          <x:t xml:space="preserve">Eddie</x:t>
        </x:is>
      </x:c>
      <x:c r="F124" s="34" t="inlineStr">
        <x:is>
          <x:t xml:space="preserve">Showed</x:t>
        </x:is>
      </x:c>
      <x:c r="G124" s="73" t="inlineStr">
        <x:is>
          <x:t xml:space="preserve">Follow-up required</x:t>
        </x:is>
      </x:c>
      <x:c r="H124" s="67" t="inlineStr">
        <x:is>
          <x:t xml:space="preserve">Max</x:t>
        </x:is>
      </x:c>
      <x:c r="K124" s="48" t="b">
        <x:v>1</x:v>
      </x:c>
      <x:c r="N124" t="n"/>
      <x:c r="O124" s="48" t="inlineStr">
        <x:is>
          <x:t xml:space="preserve">Davi</x:t>
        </x:is>
      </x:c>
      <x:c r="P124" s="48" t="inlineStr">
        <x:is>
          <x:t xml:space="preserve">2026-03-18T15:57:11.018Z</x:t>
        </x:is>
      </x:c>
      <x:c r="Q124" s="48" t="n">
        <x:v>3</x:v>
      </x:c>
      <x:c r="R124" s="48" t="n">
        <x:v>2026</x:v>
      </x:c>
    </x:row>
    <x:row r="125" s="116" customFormat="1" ht="15.75" customHeight="1">
      <x:c r="A125" s="44" t="n">
        <x:v>46055</x:v>
      </x:c>
      <x:c r="B125" s="48" t="inlineStr">
        <x:is>
          <x:t xml:space="preserve">FxkJJNusuJQv0YULQeDJ</x:t>
        </x:is>
      </x:c>
      <x:c r="C125" s="48" t="inlineStr">
        <x:is>
          <x:t xml:space="preserve">Sheldon Renovation</x:t>
        </x:is>
      </x:c>
      <x:c r="D125" s="34" t="inlineStr">
        <x:is>
          <x:t xml:space="preserve">Cold SMS</x:t>
        </x:is>
      </x:c>
      <x:c r="E125" s="34" t="inlineStr">
        <x:is>
          <x:t xml:space="preserve">Ads - No Setter</x:t>
        </x:is>
      </x:c>
      <x:c r="F125" s="34" t="inlineStr">
        <x:is>
          <x:t xml:space="preserve">No-Show</x:t>
        </x:is>
      </x:c>
      <x:c r="G125" s="73" t="n"/>
      <x:c r="H125" s="67" t="n"/>
      <x:c r="K125" s="48" t="n"/>
      <x:c r="M125" s="48" t="n"/>
      <x:c r="O125" s="48" t="inlineStr">
        <x:is>
          <x:t xml:space="preserve">Evan (Auto)</x:t>
        </x:is>
      </x:c>
      <x:c r="P125" s="48" t="inlineStr">
        <x:is>
          <x:t xml:space="preserve">2026-03-19T00:19:53.879Z</x:t>
        </x:is>
      </x:c>
      <x:c r="Q125" s="48" t="n">
        <x:v>2</x:v>
      </x:c>
      <x:c r="R125" s="48" t="n">
        <x:v>2026</x:v>
      </x:c>
    </x:row>
    <x:row r="126" s="116" customFormat="1" ht="15.75" customHeight="1">
      <x:c r="A126" s="44" t="n">
        <x:v>46055</x:v>
      </x:c>
      <x:c r="B126" s="48" t="n"/>
      <x:c r="C126" s="48" t="inlineStr">
        <x:is>
          <x:t xml:space="preserve">Sheldon Renovation</x:t>
        </x:is>
      </x:c>
      <x:c r="D126" s="34" t="inlineStr">
        <x:is>
          <x:t xml:space="preserve">Cold SMS</x:t>
        </x:is>
      </x:c>
      <x:c r="E126" s="34" t="inlineStr">
        <x:is>
          <x:t xml:space="preserve">Daniel</x:t>
        </x:is>
      </x:c>
      <x:c r="F126" s="34" t="inlineStr">
        <x:is>
          <x:t xml:space="preserve">No-Show</x:t>
        </x:is>
      </x:c>
      <x:c r="G126" s="73" t="n"/>
      <x:c r="H126" s="67" t="inlineStr">
        <x:is>
          <x:t xml:space="preserve">Max</x:t>
        </x:is>
      </x:c>
      <x:c r="K126" s="48" t="b">
        <x:v>0</x:v>
      </x:c>
      <x:c r="O126" s="48" t="inlineStr">
        <x:is>
          <x:t xml:space="preserve">Davi</x:t>
        </x:is>
      </x:c>
      <x:c r="P126" s="48" t="inlineStr">
        <x:is>
          <x:t xml:space="preserve">2026-03-18T15:57:11.018Z</x:t>
        </x:is>
      </x:c>
      <x:c r="Q126" s="48" t="n">
        <x:v>3</x:v>
      </x:c>
      <x:c r="R126" s="48" t="n">
        <x:v>2026</x:v>
      </x:c>
    </x:row>
    <x:row r="127" s="116" customFormat="1" ht="15.75" customHeight="1">
      <x:c r="A127" s="44" t="n">
        <x:v>46053</x:v>
      </x:c>
      <x:c r="B127" s="48" t="n"/>
      <x:c r="C127" s="48" t="inlineStr">
        <x:is>
          <x:t xml:space="preserve">Anthony Neil</x:t>
        </x:is>
      </x:c>
      <x:c r="D127" s="34" t="inlineStr">
        <x:is>
          <x:t xml:space="preserve">Cold SMS</x:t>
        </x:is>
      </x:c>
      <x:c r="E127" s="34" t="inlineStr">
        <x:is>
          <x:t xml:space="preserve">Ads - No Setter</x:t>
        </x:is>
      </x:c>
      <x:c r="F127" s="34" t="inlineStr">
        <x:is>
          <x:t xml:space="preserve">Showed</x:t>
        </x:is>
      </x:c>
      <x:c r="G127" s="73" t="inlineStr">
        <x:is>
          <x:t xml:space="preserve">No Closed</x:t>
        </x:is>
      </x:c>
      <x:c r="H127" s="67" t="inlineStr">
        <x:is>
          <x:t xml:space="preserve">Max</x:t>
        </x:is>
      </x:c>
      <x:c r="K127" s="48" t="b">
        <x:v>0</x:v>
      </x:c>
      <x:c r="O127" s="48" t="inlineStr">
        <x:is>
          <x:t xml:space="preserve">Davi</x:t>
        </x:is>
      </x:c>
      <x:c r="P127" s="48" t="inlineStr">
        <x:is>
          <x:t xml:space="preserve">2026-03-18T15:57:11.018Z</x:t>
        </x:is>
      </x:c>
      <x:c r="Q127" s="48" t="n">
        <x:v>3</x:v>
      </x:c>
      <x:c r="R127" s="48" t="n">
        <x:v>2026</x:v>
      </x:c>
    </x:row>
    <x:row r="128" s="116" customFormat="1" ht="15.75" customHeight="1">
      <x:c r="A128" s="44" t="n">
        <x:v>46053</x:v>
      </x:c>
      <x:c r="B128" s="48" t="n"/>
      <x:c r="C128" s="48" t="inlineStr">
        <x:is>
          <x:t xml:space="preserve">David Mackey Construction</x:t>
        </x:is>
      </x:c>
      <x:c r="D128" s="34" t="inlineStr">
        <x:is>
          <x:t xml:space="preserve">Cold SMS</x:t>
        </x:is>
      </x:c>
      <x:c r="E128" s="34" t="inlineStr">
        <x:is>
          <x:t xml:space="preserve">Randy</x:t>
        </x:is>
      </x:c>
      <x:c r="F128" s="34" t="inlineStr">
        <x:is>
          <x:t xml:space="preserve">Showed</x:t>
        </x:is>
      </x:c>
      <x:c r="G128" s="73" t="inlineStr">
        <x:is>
          <x:t xml:space="preserve">No Closed</x:t>
        </x:is>
      </x:c>
      <x:c r="H128" s="67" t="inlineStr">
        <x:is>
          <x:t xml:space="preserve">Max</x:t>
        </x:is>
      </x:c>
      <x:c r="K128" s="48" t="b">
        <x:v>0</x:v>
      </x:c>
      <x:c r="L128" s="48" t="n"/>
      <x:c r="M128" s="48" t="n"/>
      <x:c r="N128" s="79" t="n"/>
      <x:c r="O128" s="48" t="inlineStr">
        <x:is>
          <x:t xml:space="preserve">Davi</x:t>
        </x:is>
      </x:c>
      <x:c r="P128" s="48" t="inlineStr">
        <x:is>
          <x:t xml:space="preserve">2026-03-18T15:57:11.018Z</x:t>
        </x:is>
      </x:c>
      <x:c r="Q128" s="48" t="n">
        <x:v>3</x:v>
      </x:c>
      <x:c r="R128" s="48" t="n">
        <x:v>2026</x:v>
      </x:c>
    </x:row>
    <x:row r="129" s="116" customFormat="1" ht="15.75" customHeight="1">
      <x:c r="A129" s="44" t="n">
        <x:v>46053</x:v>
      </x:c>
      <x:c r="B129" s="48" t="n"/>
      <x:c r="C129" s="48" t="inlineStr">
        <x:is>
          <x:t xml:space="preserve">Micheael Cambridge</x:t>
        </x:is>
      </x:c>
      <x:c r="D129" s="34" t="inlineStr">
        <x:is>
          <x:t xml:space="preserve">Cold SMS</x:t>
        </x:is>
      </x:c>
      <x:c r="E129" s="34" t="inlineStr">
        <x:is>
          <x:t xml:space="preserve">Daniel</x:t>
        </x:is>
      </x:c>
      <x:c r="F129" s="34" t="inlineStr">
        <x:is>
          <x:t xml:space="preserve">Showed</x:t>
        </x:is>
      </x:c>
      <x:c r="G129" s="73" t="inlineStr">
        <x:is>
          <x:t xml:space="preserve">No Closed</x:t>
        </x:is>
      </x:c>
      <x:c r="H129" s="67" t="inlineStr">
        <x:is>
          <x:t xml:space="preserve">Max</x:t>
        </x:is>
      </x:c>
      <x:c r="K129" s="48" t="b">
        <x:v>0</x:v>
      </x:c>
      <x:c r="L129" s="48" t="n"/>
      <x:c r="M129" s="48" t="n"/>
      <x:c r="N129" s="79" t="n"/>
      <x:c r="O129" s="48" t="inlineStr">
        <x:is>
          <x:t xml:space="preserve">Davi</x:t>
        </x:is>
      </x:c>
      <x:c r="P129" s="117" t="inlineStr">
        <x:is>
          <x:t xml:space="preserve">2026-03-18T15:57:11.018Z</x:t>
        </x:is>
      </x:c>
      <x:c r="Q129" s="48" t="n">
        <x:v>3</x:v>
      </x:c>
      <x:c r="R129" s="48" t="n">
        <x:v>2026</x:v>
      </x:c>
    </x:row>
    <x:row r="130" s="116" customFormat="1" ht="15.75" customHeight="1">
      <x:c r="A130" s="44" t="n">
        <x:v>46051</x:v>
      </x:c>
      <x:c r="B130" s="48" t="n"/>
      <x:c r="C130" s="48" t="inlineStr">
        <x:is>
          <x:t xml:space="preserve">Bryan Knuch</x:t>
        </x:is>
      </x:c>
      <x:c r="D130" s="34" t="inlineStr">
        <x:is>
          <x:t xml:space="preserve">Cold SMS</x:t>
        </x:is>
      </x:c>
      <x:c r="E130" s="34" t="inlineStr">
        <x:is>
          <x:t xml:space="preserve">Daniel</x:t>
        </x:is>
      </x:c>
      <x:c r="F130" s="34" t="inlineStr">
        <x:is>
          <x:t xml:space="preserve">Rescheduled</x:t>
        </x:is>
      </x:c>
      <x:c r="G130" s="73" t="n"/>
      <x:c r="H130" s="67" t="inlineStr">
        <x:is>
          <x:t xml:space="preserve">Max</x:t>
        </x:is>
      </x:c>
      <x:c r="I130" s="48" t="n"/>
      <x:c r="J130" s="48" t="n"/>
      <x:c r="K130" s="48" t="b">
        <x:v>0</x:v>
      </x:c>
      <x:c r="L130" s="48" t="n"/>
      <x:c r="M130" s="48" t="inlineStr">
        <x:is>
          <x:t xml:space="preserve">Rescheduled because his son is business partner, and he wasn't on the call. Need a time when everyone is there</x:t>
        </x:is>
      </x:c>
      <x:c r="N130" s="79" t="n"/>
      <x:c r="O130" s="48" t="inlineStr">
        <x:is>
          <x:t xml:space="preserve">Max</x:t>
        </x:is>
      </x:c>
      <x:c r="P130" s="48" t="inlineStr">
        <x:is>
          <x:t xml:space="preserve">2026-03-18T15:57:11.018Z</x:t>
        </x:is>
      </x:c>
      <x:c r="Q130" s="48" t="n">
        <x:v>3</x:v>
      </x:c>
      <x:c r="R130" s="48" t="n">
        <x:v>2026</x:v>
      </x:c>
    </x:row>
    <x:row r="131" s="116" customFormat="1" ht="15.75" customHeight="1">
      <x:c r="A131" s="44" t="n">
        <x:v>46051</x:v>
      </x:c>
      <x:c r="B131" s="48" t="n"/>
      <x:c r="C131" s="48" t="inlineStr">
        <x:is>
          <x:t xml:space="preserve">Francisco Level Remodeling</x:t>
        </x:is>
      </x:c>
      <x:c r="D131" s="34" t="inlineStr">
        <x:is>
          <x:t xml:space="preserve">Cold SMS</x:t>
        </x:is>
      </x:c>
      <x:c r="E131" s="34" t="inlineStr">
        <x:is>
          <x:t xml:space="preserve">Randy</x:t>
        </x:is>
      </x:c>
      <x:c r="F131" s="34" t="inlineStr">
        <x:is>
          <x:t xml:space="preserve">No-Show</x:t>
        </x:is>
      </x:c>
      <x:c r="G131" s="73" t="n"/>
      <x:c r="H131" s="67" t="inlineStr">
        <x:is>
          <x:t xml:space="preserve">Max</x:t>
        </x:is>
      </x:c>
      <x:c r="I131" s="48" t="n"/>
      <x:c r="J131" s="48" t="n"/>
      <x:c r="K131" s="48" t="b">
        <x:v>0</x:v>
      </x:c>
      <x:c r="L131" s="48" t="n"/>
      <x:c r="M131" s="48" t="n"/>
      <x:c r="N131" s="48" t="n"/>
      <x:c r="O131" s="48" t="inlineStr">
        <x:is>
          <x:t xml:space="preserve">Max</x:t>
        </x:is>
      </x:c>
      <x:c r="P131" s="48" t="inlineStr">
        <x:is>
          <x:t xml:space="preserve">2026-03-18T15:57:11.018Z</x:t>
        </x:is>
      </x:c>
      <x:c r="Q131" s="48" t="n">
        <x:v>3</x:v>
      </x:c>
      <x:c r="R131" s="48" t="n">
        <x:v>2026</x:v>
      </x:c>
    </x:row>
    <x:row r="132" s="116" customFormat="1" ht="15.75" customHeight="1">
      <x:c r="A132" s="44" t="n">
        <x:v>46051</x:v>
      </x:c>
      <x:c r="B132" s="48" t="n"/>
      <x:c r="C132" s="48" t="inlineStr">
        <x:is>
          <x:t xml:space="preserve">Joe (754) 222-1997</x:t>
        </x:is>
      </x:c>
      <x:c r="D132" s="34" t="inlineStr">
        <x:is>
          <x:t xml:space="preserve">Cold SMS</x:t>
        </x:is>
      </x:c>
      <x:c r="E132" s="34" t="inlineStr">
        <x:is>
          <x:t xml:space="preserve">Randy</x:t>
        </x:is>
      </x:c>
      <x:c r="F132" s="34" t="inlineStr">
        <x:is>
          <x:t xml:space="preserve">Showed</x:t>
        </x:is>
      </x:c>
      <x:c r="G132" s="73" t="inlineStr">
        <x:is>
          <x:t xml:space="preserve">Follow-up required</x:t>
        </x:is>
      </x:c>
      <x:c r="H132" s="67" t="inlineStr">
        <x:is>
          <x:t xml:space="preserve">Max</x:t>
        </x:is>
      </x:c>
      <x:c r="K132" s="48" t="b">
        <x:v>0</x:v>
      </x:c>
      <x:c r="M132" t="inlineStr">
        <x:is>
          <x:t xml:space="preserve">Can't believe he didn't buy...said he'll follow up in a month</x:t>
        </x:is>
      </x:c>
      <x:c r="O132" s="48" t="inlineStr">
        <x:is>
          <x:t xml:space="preserve">Max</x:t>
        </x:is>
      </x:c>
      <x:c r="P132" s="48" t="inlineStr">
        <x:is>
          <x:t xml:space="preserve">2026-03-18T15:57:11.018Z</x:t>
        </x:is>
      </x:c>
      <x:c r="Q132" s="48" t="n">
        <x:v>3</x:v>
      </x:c>
      <x:c r="R132" s="48" t="n">
        <x:v>2026</x:v>
      </x:c>
    </x:row>
    <x:row r="133" s="116" customFormat="1" ht="15.75" customHeight="1">
      <x:c r="A133" s="44" t="n">
        <x:v>46049</x:v>
      </x:c>
      <x:c r="B133" s="48" t="n"/>
      <x:c r="C133" s="48" t="inlineStr">
        <x:is>
          <x:t xml:space="preserve">Enrique Garcia</x:t>
        </x:is>
      </x:c>
      <x:c r="D133" s="34" t="inlineStr">
        <x:is>
          <x:t xml:space="preserve">Cold SMS</x:t>
        </x:is>
      </x:c>
      <x:c r="E133" s="34" t="inlineStr">
        <x:is>
          <x:t xml:space="preserve">Randy</x:t>
        </x:is>
      </x:c>
      <x:c r="F133" s="34" t="inlineStr">
        <x:is>
          <x:t xml:space="preserve">No-Show</x:t>
        </x:is>
      </x:c>
      <x:c r="G133" s="73" t="n"/>
      <x:c r="H133" s="67" t="inlineStr">
        <x:is>
          <x:t xml:space="preserve">Max</x:t>
        </x:is>
      </x:c>
      <x:c r="K133" s="48" t="b">
        <x:v>0</x:v>
      </x:c>
      <x:c r="L133" s="48" t="n"/>
      <x:c r="M133" s="48" t="n"/>
      <x:c r="O133" s="48" t="inlineStr">
        <x:is>
          <x:t xml:space="preserve">Max</x:t>
        </x:is>
      </x:c>
      <x:c r="P133" s="117" t="inlineStr">
        <x:is>
          <x:t xml:space="preserve">2026-03-18T15:57:07.539Z</x:t>
        </x:is>
      </x:c>
      <x:c r="Q133" s="48" t="n">
        <x:v>3</x:v>
      </x:c>
      <x:c r="R133" s="48" t="n">
        <x:v>2026</x:v>
      </x:c>
    </x:row>
    <x:row r="134" s="116" customFormat="1" ht="15.75" customHeight="1">
      <x:c r="A134" s="44" t="n">
        <x:v>46049</x:v>
      </x:c>
      <x:c r="B134" s="48" t="n"/>
      <x:c r="C134" s="48" t="inlineStr">
        <x:is>
          <x:t xml:space="preserve">Gregory</x:t>
        </x:is>
      </x:c>
      <x:c r="D134" s="34" t="inlineStr">
        <x:is>
          <x:t xml:space="preserve">Cold SMS</x:t>
        </x:is>
      </x:c>
      <x:c r="E134" s="34" t="inlineStr">
        <x:is>
          <x:t xml:space="preserve">Randy</x:t>
        </x:is>
      </x:c>
      <x:c r="F134" s="34" t="inlineStr">
        <x:is>
          <x:t xml:space="preserve">Showed</x:t>
        </x:is>
      </x:c>
      <x:c r="G134" s="73" t="inlineStr">
        <x:is>
          <x:t xml:space="preserve">Follow-up required</x:t>
        </x:is>
      </x:c>
      <x:c r="H134" s="67" t="inlineStr">
        <x:is>
          <x:t xml:space="preserve">Max</x:t>
        </x:is>
      </x:c>
      <x:c r="I134" s="48" t="n"/>
      <x:c r="J134" s="48" t="n"/>
      <x:c r="K134" s="48" t="b">
        <x:v>1</x:v>
      </x:c>
      <x:c r="L134" s="48" t="inlineStr">
        <x:is>
          <x:t xml:space="preserve">4k + 10% CC for 4 months</x:t>
        </x:is>
      </x:c>
      <x:c r="M134" s="48" t="inlineStr">
        <x:is>
          <x:t xml:space="preserve">Couldnt overcome lawyer objection, sent email w next steps. Follow up tm evening.</x:t>
        </x:is>
      </x:c>
      <x:c r="O134" s="48" t="inlineStr">
        <x:is>
          <x:t xml:space="preserve">Davi</x:t>
        </x:is>
      </x:c>
      <x:c r="P134" s="117" t="inlineStr">
        <x:is>
          <x:t xml:space="preserve">2026-03-18T15:57:07.539Z</x:t>
        </x:is>
      </x:c>
      <x:c r="Q134" s="48" t="n">
        <x:v>3</x:v>
      </x:c>
      <x:c r="R134" s="48" t="n">
        <x:v>2026</x:v>
      </x:c>
    </x:row>
    <x:row r="135" s="116" customFormat="1" ht="15.75" customHeight="1">
      <x:c r="A135" s="44" t="n">
        <x:v>46045</x:v>
      </x:c>
      <x:c r="B135" s="48" t="n"/>
      <x:c r="C135" s="48" t="inlineStr">
        <x:is>
          <x:t xml:space="preserve">Steve</x:t>
        </x:is>
      </x:c>
      <x:c r="D135" s="34" t="inlineStr">
        <x:is>
          <x:t xml:space="preserve">Cold SMS</x:t>
        </x:is>
      </x:c>
      <x:c r="E135" s="34" t="inlineStr">
        <x:is>
          <x:t xml:space="preserve">Randy</x:t>
        </x:is>
      </x:c>
      <x:c r="F135" s="34" t="inlineStr">
        <x:is>
          <x:t xml:space="preserve">Cancelled/Rejected</x:t>
        </x:is>
      </x:c>
      <x:c r="G135" s="73" t="n"/>
      <x:c r="H135" s="67" t="inlineStr">
        <x:is>
          <x:t xml:space="preserve">Max</x:t>
        </x:is>
      </x:c>
      <x:c r="I135" s="48" t="n"/>
      <x:c r="J135" s="48" t="n"/>
      <x:c r="K135" s="48" t="b">
        <x:v>0</x:v>
      </x:c>
      <x:c r="L135" s="48" t="n"/>
      <x:c r="M135" s="48" t="n"/>
      <x:c r="O135" s="48" t="inlineStr">
        <x:is>
          <x:t xml:space="preserve">Davi</x:t>
        </x:is>
      </x:c>
      <x:c r="P135" s="117" t="inlineStr">
        <x:is>
          <x:t xml:space="preserve">2026-03-18T15:57:07.539Z</x:t>
        </x:is>
      </x:c>
      <x:c r="Q135" s="48" t="n">
        <x:v>3</x:v>
      </x:c>
      <x:c r="R135" s="48" t="n">
        <x:v>2026</x:v>
      </x:c>
    </x:row>
    <x:row r="136" s="116" customFormat="1" ht="15.75" customHeight="1">
      <x:c r="A136" s="44" t="n">
        <x:v>46044</x:v>
      </x:c>
      <x:c r="B136" s="48" t="n"/>
      <x:c r="C136" s="48" t="inlineStr">
        <x:is>
          <x:t xml:space="preserve">Adam</x:t>
        </x:is>
      </x:c>
      <x:c r="D136" s="34" t="inlineStr">
        <x:is>
          <x:t xml:space="preserve">Cold SMS</x:t>
        </x:is>
      </x:c>
      <x:c r="E136" s="34" t="inlineStr">
        <x:is>
          <x:t xml:space="preserve">Randy</x:t>
        </x:is>
      </x:c>
      <x:c r="F136" s="34" t="inlineStr">
        <x:is>
          <x:t xml:space="preserve">Cancelled/Rejected</x:t>
        </x:is>
      </x:c>
      <x:c r="G136" s="73" t="n"/>
      <x:c r="H136" s="67" t="inlineStr">
        <x:is>
          <x:t xml:space="preserve">Max</x:t>
        </x:is>
      </x:c>
      <x:c r="K136" s="48" t="b">
        <x:v>0</x:v>
      </x:c>
      <x:c r="L136" s="48" t="n"/>
      <x:c r="M136" s="48" t="n"/>
      <x:c r="O136" s="48" t="inlineStr">
        <x:is>
          <x:t xml:space="preserve">Davi</x:t>
        </x:is>
      </x:c>
      <x:c r="P136" s="117" t="n"/>
      <x:c r="Q136" s="48" t="e"/>
      <x:c r="R136" s="48" t="e"/>
    </x:row>
    <x:row r="137" s="116" customFormat="1" ht="15.75" customHeight="1">
      <x:c r="A137" s="44" t="n">
        <x:v>46043</x:v>
      </x:c>
      <x:c r="B137" s="48" t="n"/>
      <x:c r="C137" s="48" t="inlineStr">
        <x:is>
          <x:t xml:space="preserve">Jose Pros Home Improvements LLC</x:t>
        </x:is>
      </x:c>
      <x:c r="D137" s="34" t="inlineStr">
        <x:is>
          <x:t xml:space="preserve">Cold SMS</x:t>
        </x:is>
      </x:c>
      <x:c r="E137" s="34" t="inlineStr">
        <x:is>
          <x:t xml:space="preserve">Randy</x:t>
        </x:is>
      </x:c>
      <x:c r="F137" s="34" t="inlineStr">
        <x:is>
          <x:t xml:space="preserve">Cancelled/Rejected</x:t>
        </x:is>
      </x:c>
      <x:c r="G137" s="73" t="n"/>
      <x:c r="H137" s="67" t="inlineStr">
        <x:is>
          <x:t xml:space="preserve">Max</x:t>
        </x:is>
      </x:c>
      <x:c r="K137" s="48" t="b">
        <x:v>0</x:v>
      </x:c>
      <x:c r="N137" t="inlineStr">
        <x:is>
          <x:t xml:space="preserve">https://fathom.video/share/_y4G5p-KpsyzVmg4N8aoC2BDDpoY5zxt</x:t>
        </x:is>
      </x:c>
      <x:c r="O137" s="48" t="inlineStr">
        <x:is>
          <x:t xml:space="preserve">Davi</x:t>
        </x:is>
      </x:c>
      <x:c r="P137" s="48" t="n"/>
      <x:c r="Q137" s="48" t="n">
        <x:v>1</x:v>
      </x:c>
      <x:c r="R137" s="48" t="n">
        <x:v>2026</x:v>
      </x:c>
    </x:row>
    <x:row r="138" s="116" customFormat="1" ht="15.75" customHeight="1">
      <x:c r="A138" s="44" t="n">
        <x:v>46043</x:v>
      </x:c>
      <x:c r="B138" s="48" t="n"/>
      <x:c r="C138" s="48" t="inlineStr">
        <x:is>
          <x:t xml:space="preserve">Lee Group Group</x:t>
        </x:is>
      </x:c>
      <x:c r="D138" s="34" t="inlineStr">
        <x:is>
          <x:t xml:space="preserve">Cold SMS</x:t>
        </x:is>
      </x:c>
      <x:c r="E138" s="34" t="inlineStr">
        <x:is>
          <x:t xml:space="preserve">Randy</x:t>
        </x:is>
      </x:c>
      <x:c r="F138" s="34" t="inlineStr">
        <x:is>
          <x:t xml:space="preserve">Showed</x:t>
        </x:is>
      </x:c>
      <x:c r="G138" s="73" t="inlineStr">
        <x:is>
          <x:t xml:space="preserve">Follow-up required</x:t>
        </x:is>
      </x:c>
      <x:c r="H138" s="67" t="inlineStr">
        <x:is>
          <x:t xml:space="preserve">Max</x:t>
        </x:is>
      </x:c>
      <x:c r="K138" s="48" t="b">
        <x:v>0</x:v>
      </x:c>
      <x:c r="L138" s="48" t="n"/>
      <x:c r="M138" s="48" t="inlineStr">
        <x:is>
          <x:t xml:space="preserve">Family member problems , follow up in 1 month</x:t>
        </x:is>
      </x:c>
      <x:c r="O138" s="48" t="inlineStr">
        <x:is>
          <x:t xml:space="preserve">Davi</x:t>
        </x:is>
      </x:c>
      <x:c r="P138" s="117" t="n"/>
      <x:c r="Q138" s="48" t="n">
        <x:v>1</x:v>
      </x:c>
      <x:c r="R138" s="48" t="n">
        <x:v>2026</x:v>
      </x:c>
    </x:row>
    <x:row r="139" s="116" customFormat="1" ht="15.75" customHeight="1">
      <x:c r="A139" s="44" t="n">
        <x:v>46042</x:v>
      </x:c>
      <x:c r="B139" s="48" t="n"/>
      <x:c r="C139" s="48" t="inlineStr">
        <x:is>
          <x:t xml:space="preserve">Andres Flooring</x:t>
        </x:is>
      </x:c>
      <x:c r="D139" s="34" t="inlineStr">
        <x:is>
          <x:t xml:space="preserve">Cold SMS</x:t>
        </x:is>
      </x:c>
      <x:c r="E139" s="34" t="inlineStr">
        <x:is>
          <x:t xml:space="preserve">Randy</x:t>
        </x:is>
      </x:c>
      <x:c r="F139" s="34" t="inlineStr">
        <x:is>
          <x:t xml:space="preserve">Showed</x:t>
        </x:is>
      </x:c>
      <x:c r="G139" s="73" t="inlineStr">
        <x:is>
          <x:t xml:space="preserve">No Closed</x:t>
        </x:is>
      </x:c>
      <x:c r="H139" s="67" t="inlineStr">
        <x:is>
          <x:t xml:space="preserve">Max</x:t>
        </x:is>
      </x:c>
      <x:c r="K139" s="48" t="b">
        <x:v>0</x:v>
      </x:c>
      <x:c r="L139" s="48" t="n"/>
      <x:c r="M139" s="48" t="n"/>
      <x:c r="N139" t="inlineStr">
        <x:is>
          <x:t xml:space="preserve">https://fathom.video/share/qjZ7dg7XDiPs9DMFrnPmsFrxYREmW1ve</x:t>
        </x:is>
      </x:c>
      <x:c r="O139" s="48" t="inlineStr">
        <x:is>
          <x:t xml:space="preserve">Davi</x:t>
        </x:is>
      </x:c>
      <x:c r="P139" s="117" t="n"/>
      <x:c r="Q139" s="48" t="n">
        <x:v>1</x:v>
      </x:c>
      <x:c r="R139" s="48" t="n">
        <x:v>2026</x:v>
      </x:c>
    </x:row>
    <x:row r="140" s="116" customFormat="1" ht="15.75" customHeight="1">
      <x:c r="A140" s="44" t="n">
        <x:v>46042</x:v>
      </x:c>
      <x:c r="B140" s="48" t="n"/>
      <x:c r="C140" s="48" t="inlineStr">
        <x:is>
          <x:t xml:space="preserve">Josh</x:t>
        </x:is>
      </x:c>
      <x:c r="D140" s="34" t="inlineStr">
        <x:is>
          <x:t xml:space="preserve">Cold SMS</x:t>
        </x:is>
      </x:c>
      <x:c r="E140" s="34" t="inlineStr">
        <x:is>
          <x:t xml:space="preserve">Randy</x:t>
        </x:is>
      </x:c>
      <x:c r="F140" s="34" t="inlineStr">
        <x:is>
          <x:t xml:space="preserve">Showed</x:t>
        </x:is>
      </x:c>
      <x:c r="G140" s="73" t="inlineStr">
        <x:is>
          <x:t xml:space="preserve">No Closed</x:t>
        </x:is>
      </x:c>
      <x:c r="H140" s="67" t="inlineStr">
        <x:is>
          <x:t xml:space="preserve">Max</x:t>
        </x:is>
      </x:c>
      <x:c r="K140" s="48" t="b">
        <x:v>0</x:v>
      </x:c>
      <x:c r="M140" s="48" t="n"/>
      <x:c r="N140" t="inlineStr">
        <x:is>
          <x:t xml:space="preserve">https://fathom.video/share/_y4G5p-KpsyzVmg4N8aoC2BDDpoY5zxt</x:t>
        </x:is>
      </x:c>
      <x:c r="O140" s="48" t="inlineStr">
        <x:is>
          <x:t xml:space="preserve">Davi</x:t>
        </x:is>
      </x:c>
      <x:c r="P140" s="117" t="inlineStr">
        <x:is>
          <x:t xml:space="preserve">2026-03-18T15:56:58.308Z</x:t>
        </x:is>
      </x:c>
      <x:c r="Q140" s="48" t="n">
        <x:v>3</x:v>
      </x:c>
      <x:c r="R140" s="48" t="n">
        <x:v>2026</x:v>
      </x:c>
    </x:row>
    <x:row r="141" s="116" customFormat="1" ht="15.75" customHeight="1">
      <x:c r="A141" s="44" t="n">
        <x:v>46041</x:v>
      </x:c>
      <x:c r="B141" s="48" t="n"/>
      <x:c r="C141" s="48" t="inlineStr">
        <x:is>
          <x:t xml:space="preserve">Daniel Fabrication</x:t>
        </x:is>
      </x:c>
      <x:c r="D141" s="34" t="inlineStr">
        <x:is>
          <x:t xml:space="preserve">Cold SMS</x:t>
        </x:is>
      </x:c>
      <x:c r="E141" s="34" t="inlineStr">
        <x:is>
          <x:t xml:space="preserve">Randy</x:t>
        </x:is>
      </x:c>
      <x:c r="F141" s="34" t="inlineStr">
        <x:is>
          <x:t xml:space="preserve">Showed</x:t>
        </x:is>
      </x:c>
      <x:c r="G141" s="73" t="inlineStr">
        <x:is>
          <x:t xml:space="preserve">No Closed</x:t>
        </x:is>
      </x:c>
      <x:c r="H141" s="67" t="inlineStr">
        <x:is>
          <x:t xml:space="preserve">Max</x:t>
        </x:is>
      </x:c>
      <x:c r="K141" s="48" t="b">
        <x:v>1</x:v>
      </x:c>
      <x:c r="O141" s="48" t="inlineStr">
        <x:is>
          <x:t xml:space="preserve">Davi</x:t>
        </x:is>
      </x:c>
      <x:c r="P141" s="48" t="n"/>
      <x:c r="Q141" s="48" t="n">
        <x:v>1</x:v>
      </x:c>
      <x:c r="R141" s="48" t="n">
        <x:v>2026</x:v>
      </x:c>
    </x:row>
    <x:row r="142" s="116" customFormat="1" ht="15.75" customHeight="1">
      <x:c r="A142" s="44" t="n">
        <x:v>46041</x:v>
      </x:c>
      <x:c r="B142" s="48" t="n"/>
      <x:c r="C142" s="48" t="inlineStr">
        <x:is>
          <x:t xml:space="preserve">Jorge JS Painting</x:t>
        </x:is>
      </x:c>
      <x:c r="D142" s="34" t="inlineStr">
        <x:is>
          <x:t xml:space="preserve">Cold SMS</x:t>
        </x:is>
      </x:c>
      <x:c r="E142" s="34" t="inlineStr">
        <x:is>
          <x:t xml:space="preserve">Randy</x:t>
        </x:is>
      </x:c>
      <x:c r="F142" s="34" t="inlineStr">
        <x:is>
          <x:t xml:space="preserve">No-Show</x:t>
        </x:is>
      </x:c>
      <x:c r="G142" s="73" t="n"/>
      <x:c r="H142" s="67" t="inlineStr">
        <x:is>
          <x:t xml:space="preserve">Max</x:t>
        </x:is>
      </x:c>
      <x:c r="K142" s="48" t="b">
        <x:v>0</x:v>
      </x:c>
      <x:c r="O142" s="48" t="inlineStr">
        <x:is>
          <x:t xml:space="preserve">Davi</x:t>
        </x:is>
      </x:c>
      <x:c r="P142" s="48" t="n"/>
      <x:c r="Q142" s="48" t="n">
        <x:v>1</x:v>
      </x:c>
      <x:c r="R142" s="48" t="n">
        <x:v>2026</x:v>
      </x:c>
    </x:row>
    <x:row r="143" s="116" customFormat="1" ht="15.75" customHeight="1">
      <x:c r="A143" s="44" t="n">
        <x:v>46041</x:v>
      </x:c>
      <x:c r="B143" s="48" t="n"/>
      <x:c r="C143" s="48" t="inlineStr">
        <x:is>
          <x:t xml:space="preserve">Paul Rudometkin</x:t>
        </x:is>
      </x:c>
      <x:c r="D143" s="34" t="inlineStr">
        <x:is>
          <x:t xml:space="preserve">Ads</x:t>
        </x:is>
      </x:c>
      <x:c r="E143" s="34" t="inlineStr">
        <x:is>
          <x:t xml:space="preserve">Ads - No Setter</x:t>
        </x:is>
      </x:c>
      <x:c r="F143" s="34" t="inlineStr">
        <x:is>
          <x:t xml:space="preserve">No-Show</x:t>
        </x:is>
      </x:c>
      <x:c r="G143" s="73" t="n"/>
      <x:c r="H143" s="67" t="inlineStr">
        <x:is>
          <x:t xml:space="preserve">Max</x:t>
        </x:is>
      </x:c>
      <x:c r="K143" s="48" t="b">
        <x:v>0</x:v>
      </x:c>
      <x:c r="M143" s="48" t="n"/>
      <x:c r="N143" t="inlineStr">
        <x:is>
          <x:t xml:space="preserve">https://fathom.video/share/diGfqm3EYizskoqTn4-5kNrRSUshT_tX</x:t>
        </x:is>
      </x:c>
      <x:c r="O143" s="48" t="inlineStr">
        <x:is>
          <x:t xml:space="preserve">Davi</x:t>
        </x:is>
      </x:c>
      <x:c r="P143" s="48" t="n"/>
      <x:c r="Q143" s="48" t="n">
        <x:v>1</x:v>
      </x:c>
      <x:c r="R143" s="48" t="n">
        <x:v>2026</x:v>
      </x:c>
    </x:row>
    <x:row r="144" s="116" customFormat="1" ht="15.75" customHeight="1">
      <x:c r="A144" s="44" t="n">
        <x:v>46038</x:v>
      </x:c>
      <x:c r="B144" s="48" t="n"/>
      <x:c r="C144" s="48" t="inlineStr">
        <x:is>
          <x:t xml:space="preserve">Max Contractors</x:t>
        </x:is>
      </x:c>
      <x:c r="D144" s="34" t="inlineStr">
        <x:is>
          <x:t xml:space="preserve">Cold SMS</x:t>
        </x:is>
      </x:c>
      <x:c r="E144" s="34" t="inlineStr">
        <x:is>
          <x:t xml:space="preserve">Randy</x:t>
        </x:is>
      </x:c>
      <x:c r="F144" s="34" t="inlineStr">
        <x:is>
          <x:t xml:space="preserve">Showed</x:t>
        </x:is>
      </x:c>
      <x:c r="G144" s="73" t="inlineStr">
        <x:is>
          <x:t xml:space="preserve">No Closed</x:t>
        </x:is>
      </x:c>
      <x:c r="H144" s="67" t="inlineStr">
        <x:is>
          <x:t xml:space="preserve">Max</x:t>
        </x:is>
      </x:c>
      <x:c r="K144" s="48" t="b">
        <x:v>1</x:v>
      </x:c>
      <x:c r="L144" s="48" t="inlineStr">
        <x:is>
          <x:t xml:space="preserve">6k offer, looked good, 50% offer to make initial payment, follow up</x:t>
        </x:is>
      </x:c>
      <x:c r="M144" s="48" t="n"/>
      <x:c r="N144" t="inlineStr">
        <x:is>
          <x:t xml:space="preserve">https://fathom.video/share/_y4G5p-KpsyzVmg4N8aoC2BDDpoY5zxt</x:t>
        </x:is>
      </x:c>
      <x:c r="O144" s="48" t="inlineStr">
        <x:is>
          <x:t xml:space="preserve">Max</x:t>
        </x:is>
      </x:c>
      <x:c r="P144" s="117" t="inlineStr">
        <x:is>
          <x:t xml:space="preserve">16/01/2026</x:t>
        </x:is>
      </x:c>
      <x:c r="Q144" s="48" t="n">
        <x:v>1</x:v>
      </x:c>
      <x:c r="R144" s="48" t="n">
        <x:v>2026</x:v>
      </x:c>
    </x:row>
    <x:row r="145" s="116" customFormat="1" ht="15.75" customHeight="1">
      <x:c r="A145" s="44" t="n">
        <x:v>46038</x:v>
      </x:c>
      <x:c r="B145" s="48" t="n"/>
      <x:c r="C145" s="48" t="inlineStr">
        <x:is>
          <x:t xml:space="preserve">T Donovan</x:t>
        </x:is>
      </x:c>
      <x:c r="D145" s="34" t="inlineStr">
        <x:is>
          <x:t xml:space="preserve">Ads</x:t>
        </x:is>
      </x:c>
      <x:c r="E145" s="34" t="inlineStr">
        <x:is>
          <x:t xml:space="preserve">Ads - No Setter</x:t>
        </x:is>
      </x:c>
      <x:c r="F145" s="34" t="inlineStr">
        <x:is>
          <x:t xml:space="preserve">Rescheduled</x:t>
        </x:is>
      </x:c>
      <x:c r="G145" s="73" t="n"/>
      <x:c r="H145" s="67" t="inlineStr">
        <x:is>
          <x:t xml:space="preserve">Max</x:t>
        </x:is>
      </x:c>
      <x:c r="K145" s="48" t="b">
        <x:v>0</x:v>
      </x:c>
      <x:c r="L145" s="48" t="n"/>
      <x:c r="M145" s="48" t="n"/>
      <x:c r="O145" s="48" t="inlineStr">
        <x:is>
          <x:t xml:space="preserve">Max</x:t>
        </x:is>
      </x:c>
      <x:c r="P145" s="117" t="n"/>
      <x:c r="Q145" s="48" t="n">
        <x:v>1</x:v>
      </x:c>
      <x:c r="R145" s="48" t="n">
        <x:v>2026</x:v>
      </x:c>
    </x:row>
    <x:row r="146" s="116" customFormat="1" ht="15.75" customHeight="1">
      <x:c r="A146" s="44" t="n">
        <x:v>46036</x:v>
      </x:c>
      <x:c r="B146" s="48" t="n"/>
      <x:c r="C146" s="48" t="inlineStr">
        <x:is>
          <x:t xml:space="preserve">Andrew Delmaro</x:t>
        </x:is>
      </x:c>
      <x:c r="D146" s="34" t="inlineStr">
        <x:is>
          <x:t xml:space="preserve">Ads</x:t>
        </x:is>
      </x:c>
      <x:c r="E146" s="34" t="inlineStr">
        <x:is>
          <x:t xml:space="preserve">Ads - No Setter</x:t>
        </x:is>
      </x:c>
      <x:c r="F146" s="34" t="inlineStr">
        <x:is>
          <x:t xml:space="preserve">Rescheduled</x:t>
        </x:is>
      </x:c>
      <x:c r="G146" s="73" t="n"/>
      <x:c r="H146" s="67" t="inlineStr">
        <x:is>
          <x:t xml:space="preserve">Max</x:t>
        </x:is>
      </x:c>
      <x:c r="K146" s="48" t="b">
        <x:v>1</x:v>
      </x:c>
      <x:c r="L146" s="48" t="n"/>
      <x:c r="M146" s="48" t="n"/>
      <x:c r="O146" s="48" t="inlineStr">
        <x:is>
          <x:t xml:space="preserve">Max</x:t>
        </x:is>
      </x:c>
      <x:c r="P146" s="117" t="n"/>
      <x:c r="Q146" s="48" t="n">
        <x:v>1</x:v>
      </x:c>
      <x:c r="R146" s="48" t="n">
        <x:v>2026</x:v>
      </x:c>
    </x:row>
    <x:row r="147" s="116" customFormat="1" ht="15.75" customHeight="1">
      <x:c r="A147" s="44" t="n">
        <x:v>46036</x:v>
      </x:c>
      <x:c r="B147" s="48" t="inlineStr">
        <x:is>
          <x:t xml:space="preserve">Null</x:t>
        </x:is>
      </x:c>
      <x:c r="C147" s="48" t="inlineStr">
        <x:is>
          <x:t xml:space="preserve">Jack Fitzgerald</x:t>
        </x:is>
      </x:c>
      <x:c r="D147" s="34" t="inlineStr">
        <x:is>
          <x:t xml:space="preserve">Ads</x:t>
        </x:is>
      </x:c>
      <x:c r="E147" s="34" t="inlineStr">
        <x:is>
          <x:t xml:space="preserve">Ads - No Setter</x:t>
        </x:is>
      </x:c>
      <x:c r="F147" s="34" t="inlineStr">
        <x:is>
          <x:t xml:space="preserve">Showed</x:t>
        </x:is>
      </x:c>
      <x:c r="G147" s="73" t="inlineStr">
        <x:is>
          <x:t xml:space="preserve">No Closed</x:t>
        </x:is>
      </x:c>
      <x:c r="H147" s="67" t="inlineStr">
        <x:is>
          <x:t xml:space="preserve">Max</x:t>
        </x:is>
      </x:c>
      <x:c r="K147" s="48" t="b">
        <x:v>1</x:v>
      </x:c>
      <x:c r="L147" t="inlineStr">
        <x:is>
          <x:t xml:space="preserve">$2k upfront + $4k after first job</x:t>
        </x:is>
      </x:c>
      <x:c r="M147" s="48" t="inlineStr">
        <x:is>
          <x:t xml:space="preserve">Rushed call; needs structured follow-up</x:t>
        </x:is>
      </x:c>
      <x:c r="N147" t="inlineStr">
        <x:is>
          <x:t xml:space="preserve">https://fathom.video/share/qjZ7dg7XDiPs9DMFrnPmsFrxYREmW1ve</x:t>
        </x:is>
      </x:c>
      <x:c r="O147" s="48" t="inlineStr">
        <x:is>
          <x:t xml:space="preserve">Davi</x:t>
        </x:is>
      </x:c>
      <x:c r="P147" s="133" t="n">
        <x:v>46036.84027777778</x:v>
      </x:c>
      <x:c r="Q147" s="48" t="n">
        <x:v>1</x:v>
      </x:c>
      <x:c r="R147" s="48" t="n">
        <x:v>2026</x:v>
      </x:c>
    </x:row>
    <x:row r="148" s="116" customFormat="1" ht="15.75" customHeight="1">
      <x:c r="A148" s="44" t="n">
        <x:v>46036</x:v>
      </x:c>
      <x:c r="B148" s="48" t="inlineStr">
        <x:is>
          <x:t xml:space="preserve">Null</x:t>
        </x:is>
      </x:c>
      <x:c r="C148" s="48" t="inlineStr">
        <x:is>
          <x:t xml:space="preserve">Jake Baker</x:t>
        </x:is>
      </x:c>
      <x:c r="D148" s="34" t="inlineStr">
        <x:is>
          <x:t xml:space="preserve">Ads</x:t>
        </x:is>
      </x:c>
      <x:c r="E148" s="34" t="inlineStr">
        <x:is>
          <x:t xml:space="preserve">Ads - No Setter</x:t>
        </x:is>
      </x:c>
      <x:c r="F148" s="34" t="inlineStr">
        <x:is>
          <x:t xml:space="preserve">Showed</x:t>
        </x:is>
      </x:c>
      <x:c r="G148" s="73" t="inlineStr">
        <x:is>
          <x:t xml:space="preserve">Closed</x:t>
        </x:is>
      </x:c>
      <x:c r="H148" s="67" t="inlineStr">
        <x:is>
          <x:t xml:space="preserve">Max</x:t>
        </x:is>
      </x:c>
      <x:c r="I148" t="n">
        <x:v>500</x:v>
      </x:c>
      <x:c r="J148" t="n">
        <x:v>1000</x:v>
      </x:c>
      <x:c r="K148" s="48" t="b">
        <x:v>0</x:v>
      </x:c>
      <x:c r="L148" t="inlineStr">
        <x:is>
          <x:t xml:space="preserve">500 weekly first mo, then 2k/mo</x:t>
        </x:is>
      </x:c>
      <x:c r="M148" s="48" t="n"/>
      <x:c r="N148" t="inlineStr">
        <x:is>
          <x:t xml:space="preserve">https://fathom.video/share/diGfqm3EYizskoqTn4-5kNrRSUshT_tX</x:t>
        </x:is>
      </x:c>
      <x:c r="O148" s="48" t="inlineStr">
        <x:is>
          <x:t xml:space="preserve">Max</x:t>
        </x:is>
      </x:c>
      <x:c r="P148" s="48" t="inlineStr">
        <x:is>
          <x:t xml:space="preserve">15/01/2026</x:t>
        </x:is>
      </x:c>
      <x:c r="Q148" s="48" t="n">
        <x:v>1</x:v>
      </x:c>
      <x:c r="R148" s="48" t="n">
        <x:v>2026</x:v>
      </x:c>
    </x:row>
    <x:row r="149" s="116" customFormat="1" ht="15.75" customHeight="1">
      <x:c r="A149" s="44" t="n">
        <x:v>46035</x:v>
      </x:c>
      <x:c r="B149" s="48" t="n"/>
      <x:c r="C149" s="48" t="inlineStr">
        <x:is>
          <x:t xml:space="preserve">Stephen Rich</x:t>
        </x:is>
      </x:c>
      <x:c r="D149" s="34" t="inlineStr">
        <x:is>
          <x:t xml:space="preserve">Ads</x:t>
        </x:is>
      </x:c>
      <x:c r="E149" s="34" t="inlineStr">
        <x:is>
          <x:t xml:space="preserve">Ads - No Setter</x:t>
        </x:is>
      </x:c>
      <x:c r="F149" s="34" t="inlineStr">
        <x:is>
          <x:t xml:space="preserve">No-Show</x:t>
        </x:is>
      </x:c>
      <x:c r="G149" s="73" t="n"/>
      <x:c r="H149" s="67" t="inlineStr">
        <x:is>
          <x:t xml:space="preserve">Max</x:t>
        </x:is>
      </x:c>
      <x:c r="K149" s="48" t="b">
        <x:v>0</x:v>
      </x:c>
      <x:c r="M149" s="48" t="n"/>
      <x:c r="N149" t="n"/>
      <x:c r="O149" s="48" t="inlineStr">
        <x:is>
          <x:t xml:space="preserve">Max</x:t>
        </x:is>
      </x:c>
      <x:c r="P149" s="48" t="n"/>
      <x:c r="Q149" s="48" t="n">
        <x:v>1</x:v>
      </x:c>
      <x:c r="R149" s="48" t="n">
        <x:v>2026</x:v>
      </x:c>
    </x:row>
    <x:row r="150" s="116" customFormat="1" ht="15.75" customHeight="1">
      <x:c r="A150" s="44" t="n">
        <x:v>46034</x:v>
      </x:c>
      <x:c r="B150" s="48" t="inlineStr">
        <x:is>
          <x:t xml:space="preserve">Null</x:t>
        </x:is>
      </x:c>
      <x:c r="C150" s="48" t="inlineStr">
        <x:is>
          <x:t xml:space="preserve">Basim Sawaged</x:t>
        </x:is>
      </x:c>
      <x:c r="D150" s="34" t="inlineStr">
        <x:is>
          <x:t xml:space="preserve">Ads</x:t>
        </x:is>
      </x:c>
      <x:c r="E150" s="34" t="inlineStr">
        <x:is>
          <x:t xml:space="preserve">Ads - No Setter</x:t>
        </x:is>
      </x:c>
      <x:c r="F150" s="34" t="inlineStr">
        <x:is>
          <x:t xml:space="preserve">Showed</x:t>
        </x:is>
      </x:c>
      <x:c r="G150" s="73" t="inlineStr">
        <x:is>
          <x:t xml:space="preserve">No Closed</x:t>
        </x:is>
      </x:c>
      <x:c r="H150" s="67" t="inlineStr">
        <x:is>
          <x:t xml:space="preserve">Max</x:t>
        </x:is>
      </x:c>
      <x:c r="K150" s="48" t="b">
        <x:v>1</x:v>
      </x:c>
      <x:c r="L150" t="inlineStr">
        <x:is>
          <x:t xml:space="preserve">$2k first payment via Klarna</x:t>
        </x:is>
      </x:c>
      <x:c r="M150" s="48" t="inlineStr">
        <x:is>
          <x:t xml:space="preserve">Claimed large projects; financial objection; ghosted</x:t>
        </x:is>
      </x:c>
      <x:c r="N150" t="n"/>
      <x:c r="O150" s="48" t="inlineStr">
        <x:is>
          <x:t xml:space="preserve">Davi</x:t>
        </x:is>
      </x:c>
      <x:c r="P150" s="133" t="n">
        <x:v>46036.84027777778</x:v>
      </x:c>
      <x:c r="Q150" s="48" t="n">
        <x:v>1</x:v>
      </x:c>
      <x:c r="R150" s="48" t="n">
        <x:v>2026</x:v>
      </x:c>
    </x:row>
    <x:row r="151" s="116" customFormat="1" ht="15.75" customHeight="1">
      <x:c r="A151" s="44" t="n">
        <x:v>46034</x:v>
      </x:c>
      <x:c r="B151" s="48" t="inlineStr">
        <x:is>
          <x:t xml:space="preserve">Null</x:t>
        </x:is>
      </x:c>
      <x:c r="C151" s="48" t="inlineStr">
        <x:is>
          <x:t xml:space="preserve">Jesse Pasqualucci</x:t>
        </x:is>
      </x:c>
      <x:c r="D151" s="34" t="inlineStr">
        <x:is>
          <x:t xml:space="preserve">Ads</x:t>
        </x:is>
      </x:c>
      <x:c r="E151" s="34" t="inlineStr">
        <x:is>
          <x:t xml:space="preserve">Ads - No Setter</x:t>
        </x:is>
      </x:c>
      <x:c r="F151" s="34" t="inlineStr">
        <x:is>
          <x:t xml:space="preserve">Showed</x:t>
        </x:is>
      </x:c>
      <x:c r="G151" s="73" t="inlineStr">
        <x:is>
          <x:t xml:space="preserve">No Closed</x:t>
        </x:is>
      </x:c>
      <x:c r="H151" s="67" t="inlineStr">
        <x:is>
          <x:t xml:space="preserve">Max</x:t>
        </x:is>
      </x:c>
      <x:c r="K151" s="48" t="b">
        <x:v>0</x:v>
      </x:c>
      <x:c r="L151" t="inlineStr">
        <x:is>
          <x:t xml:space="preserve">Setup fee then rev share only</x:t>
        </x:is>
      </x:c>
      <x:c r="M151" s="48" t="inlineStr">
        <x:is>
          <x:t xml:space="preserve">High friction; defensive; poor fit</x:t>
        </x:is>
      </x:c>
      <x:c r="N151" t="n"/>
      <x:c r="O151" s="48" t="inlineStr">
        <x:is>
          <x:t xml:space="preserve">Davi</x:t>
        </x:is>
      </x:c>
      <x:c r="P151" s="133" t="n">
        <x:v>46036.84027777778</x:v>
      </x:c>
      <x:c r="Q151" s="48" t="n">
        <x:v>1</x:v>
      </x:c>
      <x:c r="R151" s="48" t="n">
        <x:v>2026</x:v>
      </x:c>
    </x:row>
    <x:row r="152" s="116" customFormat="1" ht="15.75" customHeight="1">
      <x:c r="A152" s="44" t="n">
        <x:v>46034</x:v>
      </x:c>
      <x:c r="B152" s="48" t="inlineStr">
        <x:is>
          <x:t xml:space="preserve">Null</x:t>
        </x:is>
      </x:c>
      <x:c r="C152" s="48" t="inlineStr">
        <x:is>
          <x:t xml:space="preserve">Mike Braymiller Builders</x:t>
        </x:is>
      </x:c>
      <x:c r="D152" s="34" t="inlineStr">
        <x:is>
          <x:t xml:space="preserve">Cold SMS</x:t>
        </x:is>
      </x:c>
      <x:c r="E152" s="34" t="inlineStr">
        <x:is>
          <x:t xml:space="preserve">Randy</x:t>
        </x:is>
      </x:c>
      <x:c r="F152" s="34" t="inlineStr">
        <x:is>
          <x:t xml:space="preserve">Showed</x:t>
        </x:is>
      </x:c>
      <x:c r="G152" s="73" t="inlineStr">
        <x:is>
          <x:t xml:space="preserve">Closed</x:t>
        </x:is>
      </x:c>
      <x:c r="H152" s="67" t="inlineStr">
        <x:is>
          <x:t xml:space="preserve">Max</x:t>
        </x:is>
      </x:c>
      <x:c r="I152" t="n">
        <x:v>2000</x:v>
      </x:c>
      <x:c r="J152" t="n">
        <x:v>4000</x:v>
      </x:c>
      <x:c r="K152" s="48" t="b">
        <x:v>0</x:v>
      </x:c>
      <x:c r="L152" t="inlineStr">
        <x:is>
          <x:t xml:space="preserve">$4k setup + 2.5% rev share</x:t>
        </x:is>
      </x:c>
      <x:c r="M152" s="48" t="inlineStr">
        <x:is>
          <x:t xml:space="preserve">Ideal ICP; large ad budget</x:t>
        </x:is>
      </x:c>
      <x:c r="N152" t="n"/>
      <x:c r="O152" s="48" t="inlineStr">
        <x:is>
          <x:t xml:space="preserve">Davi</x:t>
        </x:is>
      </x:c>
      <x:c r="P152" s="133" t="n">
        <x:v>46036.84027777778</x:v>
      </x:c>
      <x:c r="Q152" s="48" t="n">
        <x:v>1</x:v>
      </x:c>
      <x:c r="R152" s="48" t="n">
        <x:v>2026</x:v>
      </x:c>
    </x:row>
    <x:row r="153" s="116" customFormat="1" ht="15.75" customHeight="1">
      <x:c r="A153" s="44" t="n">
        <x:v>46034</x:v>
      </x:c>
      <x:c r="B153" s="48" t="n"/>
      <x:c r="C153" s="48" t="inlineStr">
        <x:is>
          <x:t xml:space="preserve">Thomas Peterson</x:t>
        </x:is>
      </x:c>
      <x:c r="D153" s="34" t="inlineStr">
        <x:is>
          <x:t xml:space="preserve">Ads</x:t>
        </x:is>
      </x:c>
      <x:c r="E153" s="34" t="inlineStr">
        <x:is>
          <x:t xml:space="preserve">Ads - No Setter</x:t>
        </x:is>
      </x:c>
      <x:c r="F153" s="34" t="inlineStr">
        <x:is>
          <x:t xml:space="preserve">Rescheduled</x:t>
        </x:is>
      </x:c>
      <x:c r="G153" s="73" t="n"/>
      <x:c r="H153" s="67" t="inlineStr">
        <x:is>
          <x:t xml:space="preserve">Max</x:t>
        </x:is>
      </x:c>
      <x:c r="K153" s="48" t="b">
        <x:v>1</x:v>
      </x:c>
      <x:c r="M153" s="48" t="n"/>
      <x:c r="N153" t="n"/>
      <x:c r="O153" s="48" t="inlineStr">
        <x:is>
          <x:t xml:space="preserve">Max</x:t>
        </x:is>
      </x:c>
      <x:c r="P153" s="48" t="n"/>
      <x:c r="Q153" s="48" t="n">
        <x:v>1</x:v>
      </x:c>
      <x:c r="R153" s="48" t="n">
        <x:v>2026</x:v>
      </x:c>
    </x:row>
    <x:row r="154" s="116" customFormat="1" ht="15.75" customHeight="1">
      <x:c r="A154" s="44" t="n">
        <x:v>46034</x:v>
      </x:c>
      <x:c r="B154" s="48" t="n"/>
      <x:c r="C154" s="48" t="inlineStr">
        <x:is>
          <x:t xml:space="preserve">Zakery Nalbone</x:t>
        </x:is>
      </x:c>
      <x:c r="D154" s="34" t="inlineStr">
        <x:is>
          <x:t xml:space="preserve">Ads</x:t>
        </x:is>
      </x:c>
      <x:c r="E154" s="34" t="inlineStr">
        <x:is>
          <x:t xml:space="preserve">Ads - No Setter</x:t>
        </x:is>
      </x:c>
      <x:c r="F154" s="34" t="inlineStr">
        <x:is>
          <x:t xml:space="preserve">No-Show</x:t>
        </x:is>
      </x:c>
      <x:c r="G154" s="73" t="n"/>
      <x:c r="H154" s="67" t="inlineStr">
        <x:is>
          <x:t xml:space="preserve">Max</x:t>
        </x:is>
      </x:c>
      <x:c r="K154" s="48" t="b">
        <x:v>0</x:v>
      </x:c>
      <x:c r="M154" s="48" t="n"/>
      <x:c r="N154" t="n"/>
      <x:c r="O154" s="48" t="inlineStr">
        <x:is>
          <x:t xml:space="preserve">Max</x:t>
        </x:is>
      </x:c>
      <x:c r="P154" s="48" t="n"/>
      <x:c r="Q154" s="48" t="n">
        <x:v>1</x:v>
      </x:c>
      <x:c r="R154" s="48" t="n">
        <x:v>2026</x:v>
      </x:c>
    </x:row>
    <x:row r="155" s="116" customFormat="1" ht="15.75" customHeight="1">
      <x:c r="A155" s="44" t="n">
        <x:v>46033</x:v>
      </x:c>
      <x:c r="B155" s="48" t="inlineStr">
        <x:is>
          <x:t xml:space="preserve">Null</x:t>
        </x:is>
      </x:c>
      <x:c r="C155" s="48" t="inlineStr">
        <x:is>
          <x:t xml:space="preserve">Olivia Wong</x:t>
        </x:is>
      </x:c>
      <x:c r="D155" s="34" t="inlineStr">
        <x:is>
          <x:t xml:space="preserve">Ads</x:t>
        </x:is>
      </x:c>
      <x:c r="E155" s="34" t="inlineStr">
        <x:is>
          <x:t xml:space="preserve">Ads - No Setter</x:t>
        </x:is>
      </x:c>
      <x:c r="F155" s="34" t="inlineStr">
        <x:is>
          <x:t xml:space="preserve">Showed</x:t>
        </x:is>
      </x:c>
      <x:c r="G155" s="73" t="inlineStr">
        <x:is>
          <x:t xml:space="preserve">No Closed</x:t>
        </x:is>
      </x:c>
      <x:c r="H155" s="67" t="inlineStr">
        <x:is>
          <x:t xml:space="preserve">Max</x:t>
        </x:is>
      </x:c>
      <x:c r="K155" s="48" t="b">
        <x:v>0</x:v>
      </x:c>
      <x:c r="L155" t="inlineStr">
        <x:is>
          <x:t xml:space="preserve">Not specified</x:t>
        </x:is>
      </x:c>
      <x:c r="M155" s="48" t="inlineStr">
        <x:is>
          <x:t xml:space="preserve">Strong early signals; momentum lost near close</x:t>
        </x:is>
      </x:c>
      <x:c r="N155" t="n"/>
      <x:c r="O155" s="48" t="inlineStr">
        <x:is>
          <x:t xml:space="preserve">Davi</x:t>
        </x:is>
      </x:c>
      <x:c r="P155" s="133" t="n">
        <x:v>46036.84027777778</x:v>
      </x:c>
      <x:c r="Q155" s="48" t="n">
        <x:v>1</x:v>
      </x:c>
      <x:c r="R155" s="48" t="n">
        <x:v>2026</x:v>
      </x:c>
    </x:row>
    <x:row r="156" s="116" customFormat="1" ht="15.75" customHeight="1">
      <x:c r="A156" s="44" t="n">
        <x:v>46031</x:v>
      </x:c>
      <x:c r="B156" s="48" t="n"/>
      <x:c r="C156" s="48" t="inlineStr">
        <x:is>
          <x:t xml:space="preserve">Anthony 12165367026</x:t>
        </x:is>
      </x:c>
      <x:c r="D156" s="34" t="inlineStr">
        <x:is>
          <x:t xml:space="preserve">Cold SMS</x:t>
        </x:is>
      </x:c>
      <x:c r="E156" s="34" t="inlineStr">
        <x:is>
          <x:t xml:space="preserve">Randy</x:t>
        </x:is>
      </x:c>
      <x:c r="F156" s="34" t="inlineStr">
        <x:is>
          <x:t xml:space="preserve">No-Show</x:t>
        </x:is>
      </x:c>
      <x:c r="G156" s="73" t="n"/>
      <x:c r="H156" s="67" t="inlineStr">
        <x:is>
          <x:t xml:space="preserve">Max</x:t>
        </x:is>
      </x:c>
      <x:c r="K156" s="48" t="b">
        <x:v>0</x:v>
      </x:c>
      <x:c r="M156" s="48" t="n"/>
      <x:c r="N156" t="n"/>
      <x:c r="O156" s="48" t="inlineStr">
        <x:is>
          <x:t xml:space="preserve">Max</x:t>
        </x:is>
      </x:c>
      <x:c r="P156" s="48" t="n"/>
      <x:c r="Q156" s="48" t="n">
        <x:v>1</x:v>
      </x:c>
      <x:c r="R156" s="48" t="n">
        <x:v>2026</x:v>
      </x:c>
    </x:row>
    <x:row r="157" s="116" customFormat="1" ht="15.75" customHeight="1">
      <x:c r="A157" s="44" t="n">
        <x:v>46031</x:v>
      </x:c>
      <x:c r="B157" s="48" t="n"/>
      <x:c r="C157" s="48" t="inlineStr">
        <x:is>
          <x:t xml:space="preserve">Jerry Vines</x:t>
        </x:is>
      </x:c>
      <x:c r="D157" s="34" t="inlineStr">
        <x:is>
          <x:t xml:space="preserve">Ads</x:t>
        </x:is>
      </x:c>
      <x:c r="E157" s="34" t="inlineStr">
        <x:is>
          <x:t xml:space="preserve">Ads - No Setter</x:t>
        </x:is>
      </x:c>
      <x:c r="F157" s="34" t="inlineStr">
        <x:is>
          <x:t xml:space="preserve">No-Show</x:t>
        </x:is>
      </x:c>
      <x:c r="G157" s="73" t="n"/>
      <x:c r="H157" s="67" t="inlineStr">
        <x:is>
          <x:t xml:space="preserve">Max</x:t>
        </x:is>
      </x:c>
      <x:c r="K157" s="48" t="b">
        <x:v>0</x:v>
      </x:c>
      <x:c r="M157" s="48" t="n"/>
      <x:c r="N157" t="n"/>
      <x:c r="O157" s="48" t="inlineStr">
        <x:is>
          <x:t xml:space="preserve">Max</x:t>
        </x:is>
      </x:c>
      <x:c r="P157" s="48" t="n"/>
      <x:c r="Q157" s="48" t="n">
        <x:v>1</x:v>
      </x:c>
      <x:c r="R157" s="48" t="n">
        <x:v>2026</x:v>
      </x:c>
    </x:row>
    <x:row r="158" s="116" customFormat="1" ht="15.75" customHeight="1">
      <x:c r="A158" s="44" t="n">
        <x:v>46031</x:v>
      </x:c>
      <x:c r="B158" s="48" t="n"/>
      <x:c r="C158" s="48" t="inlineStr">
        <x:is>
          <x:t xml:space="preserve">Michael Renovation Solutions LLC</x:t>
        </x:is>
      </x:c>
      <x:c r="D158" s="34" t="inlineStr">
        <x:is>
          <x:t xml:space="preserve">Cold SMS</x:t>
        </x:is>
      </x:c>
      <x:c r="E158" s="34" t="inlineStr">
        <x:is>
          <x:t xml:space="preserve">Randy</x:t>
        </x:is>
      </x:c>
      <x:c r="F158" s="34" t="inlineStr">
        <x:is>
          <x:t xml:space="preserve">No-Show</x:t>
        </x:is>
      </x:c>
      <x:c r="G158" s="73" t="n"/>
      <x:c r="H158" s="67" t="inlineStr">
        <x:is>
          <x:t xml:space="preserve">Max</x:t>
        </x:is>
      </x:c>
      <x:c r="K158" s="48" t="b">
        <x:v>0</x:v>
      </x:c>
      <x:c r="M158" s="48" t="inlineStr">
        <x:is>
          <x:t xml:space="preserve">Note: Rejected us. Not a no show, it was a cancel.</x:t>
        </x:is>
      </x:c>
      <x:c r="N158" t="n"/>
      <x:c r="O158" s="48" t="inlineStr">
        <x:is>
          <x:t xml:space="preserve">Max</x:t>
        </x:is>
      </x:c>
      <x:c r="P158" s="48" t="n"/>
      <x:c r="Q158" s="48" t="n">
        <x:v>1</x:v>
      </x:c>
      <x:c r="R158" s="48" t="n">
        <x:v>2026</x:v>
      </x:c>
    </x:row>
    <x:row r="159" s="116" customFormat="1" ht="15.75" customHeight="1">
      <x:c r="A159" s="44" t="n">
        <x:v>46031</x:v>
      </x:c>
      <x:c r="B159" s="48" t="n"/>
      <x:c r="C159" s="48" t="inlineStr">
        <x:is>
          <x:t xml:space="preserve">Nathan Moraru</x:t>
        </x:is>
      </x:c>
      <x:c r="D159" s="34" t="inlineStr">
        <x:is>
          <x:t xml:space="preserve">Ads</x:t>
        </x:is>
      </x:c>
      <x:c r="E159" s="34" t="inlineStr">
        <x:is>
          <x:t xml:space="preserve">Ads - No Setter</x:t>
        </x:is>
      </x:c>
      <x:c r="F159" s="34" t="inlineStr">
        <x:is>
          <x:t xml:space="preserve">No-Show</x:t>
        </x:is>
      </x:c>
      <x:c r="G159" s="73" t="n"/>
      <x:c r="H159" s="67" t="inlineStr">
        <x:is>
          <x:t xml:space="preserve">Max</x:t>
        </x:is>
      </x:c>
      <x:c r="K159" s="48" t="b">
        <x:v>0</x:v>
      </x:c>
      <x:c r="M159" s="48" t="n"/>
      <x:c r="N159" t="n"/>
      <x:c r="O159" s="48" t="inlineStr">
        <x:is>
          <x:t xml:space="preserve">Max</x:t>
        </x:is>
      </x:c>
      <x:c r="P159" s="48" t="n"/>
      <x:c r="Q159" s="48" t="n">
        <x:v>1</x:v>
      </x:c>
      <x:c r="R159" s="48" t="n">
        <x:v>2026</x:v>
      </x:c>
    </x:row>
    <x:row r="160" s="116" customFormat="1" ht="15.75" customHeight="1">
      <x:c r="A160" s="44" t="n">
        <x:v>46031</x:v>
      </x:c>
      <x:c r="B160" s="48" t="inlineStr">
        <x:is>
          <x:t xml:space="preserve">Null</x:t>
        </x:is>
      </x:c>
      <x:c r="C160" s="48" t="inlineStr">
        <x:is>
          <x:t xml:space="preserve">Todd Ferrara</x:t>
        </x:is>
      </x:c>
      <x:c r="D160" s="34" t="inlineStr">
        <x:is>
          <x:t xml:space="preserve">Cold SMS</x:t>
        </x:is>
      </x:c>
      <x:c r="E160" s="34" t="inlineStr">
        <x:is>
          <x:t xml:space="preserve">Randy</x:t>
        </x:is>
      </x:c>
      <x:c r="F160" s="34" t="inlineStr">
        <x:is>
          <x:t xml:space="preserve">Showed</x:t>
        </x:is>
      </x:c>
      <x:c r="G160" s="73" t="inlineStr">
        <x:is>
          <x:t xml:space="preserve">No Closed</x:t>
        </x:is>
      </x:c>
      <x:c r="H160" s="67" t="inlineStr">
        <x:is>
          <x:t xml:space="preserve">Max</x:t>
        </x:is>
      </x:c>
      <x:c r="K160" s="48" t="b">
        <x:v>0</x:v>
      </x:c>
      <x:c r="M160" s="48" t="inlineStr">
        <x:is>
          <x:t xml:space="preserve">No budget</x:t>
        </x:is>
      </x:c>
      <x:c r="N160" t="n"/>
      <x:c r="O160" s="48" t="inlineStr">
        <x:is>
          <x:t xml:space="preserve">Davi</x:t>
        </x:is>
      </x:c>
      <x:c r="P160" s="133" t="n">
        <x:v>46036.84027777778</x:v>
      </x:c>
      <x:c r="Q160" s="48" t="n">
        <x:v>1</x:v>
      </x:c>
      <x:c r="R160" s="48" t="n">
        <x:v>2026</x:v>
      </x:c>
    </x:row>
    <x:row r="161" s="116" customFormat="1" ht="15.75" customHeight="1">
      <x:c r="A161" s="44" t="n">
        <x:v>46030</x:v>
      </x:c>
      <x:c r="B161" s="48" t="n"/>
      <x:c r="C161" s="48" t="inlineStr">
        <x:is>
          <x:t xml:space="preserve">Chris Falcone</x:t>
        </x:is>
      </x:c>
      <x:c r="D161" s="34" t="inlineStr">
        <x:is>
          <x:t xml:space="preserve">Ads</x:t>
        </x:is>
      </x:c>
      <x:c r="E161" s="34" t="inlineStr">
        <x:is>
          <x:t xml:space="preserve">Ads - No Setter</x:t>
        </x:is>
      </x:c>
      <x:c r="F161" s="34" t="inlineStr">
        <x:is>
          <x:t xml:space="preserve">No-Show</x:t>
        </x:is>
      </x:c>
      <x:c r="G161" s="73" t="n"/>
      <x:c r="H161" s="67" t="inlineStr">
        <x:is>
          <x:t xml:space="preserve">Max</x:t>
        </x:is>
      </x:c>
      <x:c r="K161" s="48" t="b">
        <x:v>0</x:v>
      </x:c>
      <x:c r="M161" s="48" t="n"/>
      <x:c r="N161" t="n"/>
      <x:c r="O161" s="48" t="inlineStr">
        <x:is>
          <x:t xml:space="preserve">Max</x:t>
        </x:is>
      </x:c>
      <x:c r="P161" s="48" t="n"/>
      <x:c r="Q161" s="48" t="n">
        <x:v>1</x:v>
      </x:c>
      <x:c r="R161" s="48" t="n">
        <x:v>2026</x:v>
      </x:c>
    </x:row>
    <x:row r="162" s="116" customFormat="1" ht="15.75" customHeight="1">
      <x:c r="A162" s="44" t="n">
        <x:v>46030</x:v>
      </x:c>
      <x:c r="B162" s="48" t="inlineStr">
        <x:is>
          <x:t xml:space="preserve">Null</x:t>
        </x:is>
      </x:c>
      <x:c r="C162" s="48" t="inlineStr">
        <x:is>
          <x:t xml:space="preserve">Lee Group</x:t>
        </x:is>
      </x:c>
      <x:c r="D162" s="34" t="inlineStr">
        <x:is>
          <x:t xml:space="preserve">Cold SMS</x:t>
        </x:is>
      </x:c>
      <x:c r="E162" s="34" t="inlineStr">
        <x:is>
          <x:t xml:space="preserve">Randy</x:t>
        </x:is>
      </x:c>
      <x:c r="F162" s="34" t="inlineStr">
        <x:is>
          <x:t xml:space="preserve">Showed</x:t>
        </x:is>
      </x:c>
      <x:c r="G162" s="73" t="inlineStr">
        <x:is>
          <x:t xml:space="preserve">Follow-up required</x:t>
        </x:is>
      </x:c>
      <x:c r="H162" s="67" t="inlineStr">
        <x:is>
          <x:t xml:space="preserve">Max</x:t>
        </x:is>
      </x:c>
      <x:c r="K162" s="48" t="b">
        <x:v>1</x:v>
      </x:c>
      <x:c r="L162" t="inlineStr">
        <x:is>
          <x:t xml:space="preserve">$6k for 90 days</x:t>
        </x:is>
      </x:c>
      <x:c r="M162" s="48" t="inlineStr">
        <x:is>
          <x:t xml:space="preserve">Wanted to think; booked follow-up; no-show</x:t>
        </x:is>
      </x:c>
      <x:c r="N162" t="n"/>
      <x:c r="O162" s="48" t="inlineStr">
        <x:is>
          <x:t xml:space="preserve">Davi</x:t>
        </x:is>
      </x:c>
      <x:c r="P162" s="133" t="n">
        <x:v>46036.84027777778</x:v>
      </x:c>
      <x:c r="Q162" s="48" t="n">
        <x:v>1</x:v>
      </x:c>
      <x:c r="R162" s="48" t="n">
        <x:v>2026</x:v>
      </x:c>
    </x:row>
    <x:row r="163" s="116" customFormat="1" ht="15.75" customHeight="1">
      <x:c r="A163" s="44" t="n">
        <x:v>46030</x:v>
      </x:c>
      <x:c r="B163" s="48" t="inlineStr">
        <x:is>
          <x:t xml:space="preserve">Null</x:t>
        </x:is>
      </x:c>
      <x:c r="C163" s="48" t="inlineStr">
        <x:is>
          <x:t xml:space="preserve">Stephen Villard</x:t>
        </x:is>
      </x:c>
      <x:c r="D163" s="34" t="inlineStr">
        <x:is>
          <x:t xml:space="preserve">Cold SMS</x:t>
        </x:is>
      </x:c>
      <x:c r="E163" s="34" t="inlineStr">
        <x:is>
          <x:t xml:space="preserve">Max</x:t>
        </x:is>
      </x:c>
      <x:c r="F163" s="34" t="inlineStr">
        <x:is>
          <x:t xml:space="preserve">Showed</x:t>
        </x:is>
      </x:c>
      <x:c r="G163" s="73" t="inlineStr">
        <x:is>
          <x:t xml:space="preserve">No Closed</x:t>
        </x:is>
      </x:c>
      <x:c r="H163" s="67" t="inlineStr">
        <x:is>
          <x:t xml:space="preserve">Max</x:t>
        </x:is>
      </x:c>
      <x:c r="K163" s="48" t="b">
        <x:v>1</x:v>
      </x:c>
      <x:c r="L163" t="inlineStr">
        <x:is>
          <x:t xml:space="preserve">$2k upfront financed on $6k total</x:t>
        </x:is>
      </x:c>
      <x:c r="M163" s="48" t="inlineStr">
        <x:is>
          <x:t xml:space="preserve">Tight on cash; offer reduction misaligned with stated goals</x:t>
        </x:is>
      </x:c>
      <x:c r="N163" t="n"/>
      <x:c r="O163" s="48" t="inlineStr">
        <x:is>
          <x:t xml:space="preserve">Davi</x:t>
        </x:is>
      </x:c>
      <x:c r="P163" s="133" t="n">
        <x:v>46036.84027777778</x:v>
      </x:c>
      <x:c r="Q163" s="48" t="n">
        <x:v>1</x:v>
      </x:c>
      <x:c r="R163" s="48" t="n">
        <x:v>2026</x:v>
      </x:c>
    </x:row>
    <x:row r="164" s="116" customFormat="1" ht="15.75" customHeight="1">
      <x:c r="A164" s="44" t="n">
        <x:v>46030</x:v>
      </x:c>
      <x:c r="B164" s="48" t="n"/>
      <x:c r="C164" s="48" t="inlineStr">
        <x:is>
          <x:t xml:space="preserve">Watson Crick</x:t>
        </x:is>
      </x:c>
      <x:c r="D164" s="34" t="inlineStr">
        <x:is>
          <x:t xml:space="preserve">Ads</x:t>
        </x:is>
      </x:c>
      <x:c r="E164" s="34" t="inlineStr">
        <x:is>
          <x:t xml:space="preserve">Ads - No Setter</x:t>
        </x:is>
      </x:c>
      <x:c r="F164" s="34" t="inlineStr">
        <x:is>
          <x:t xml:space="preserve">No-Show</x:t>
        </x:is>
      </x:c>
      <x:c r="G164" s="73" t="n"/>
      <x:c r="H164" s="67" t="inlineStr">
        <x:is>
          <x:t xml:space="preserve">Max</x:t>
        </x:is>
      </x:c>
      <x:c r="K164" s="48" t="b">
        <x:v>0</x:v>
      </x:c>
      <x:c r="M164" s="48" t="inlineStr">
        <x:is>
          <x:t xml:space="preserve">Think he was a funnel hacker / spam. Blocked him. Not 1st time.</x:t>
        </x:is>
      </x:c>
      <x:c r="N164" t="n"/>
      <x:c r="O164" s="48" t="inlineStr">
        <x:is>
          <x:t xml:space="preserve">Max</x:t>
        </x:is>
      </x:c>
      <x:c r="P164" s="48" t="n"/>
      <x:c r="Q164" s="48" t="n">
        <x:v>1</x:v>
      </x:c>
      <x:c r="R164" s="48" t="n">
        <x:v>2026</x:v>
      </x:c>
    </x:row>
    <x:row r="165" s="116" customFormat="1" ht="15.75" customHeight="1">
      <x:c r="A165" s="44" t="n">
        <x:v>46030</x:v>
      </x:c>
      <x:c r="B165" s="48" t="n"/>
      <x:c r="C165" s="48" t="inlineStr">
        <x:is>
          <x:t xml:space="preserve">Watson Crick</x:t>
        </x:is>
      </x:c>
      <x:c r="D165" s="34" t="inlineStr">
        <x:is>
          <x:t xml:space="preserve">Ads</x:t>
        </x:is>
      </x:c>
      <x:c r="E165" s="34" t="inlineStr">
        <x:is>
          <x:t xml:space="preserve">Ads - No Setter</x:t>
        </x:is>
      </x:c>
      <x:c r="F165" s="34" t="inlineStr">
        <x:is>
          <x:t xml:space="preserve">No-Show</x:t>
        </x:is>
      </x:c>
      <x:c r="G165" s="73" t="n"/>
      <x:c r="H165" s="67" t="inlineStr">
        <x:is>
          <x:t xml:space="preserve">Max</x:t>
        </x:is>
      </x:c>
      <x:c r="K165" s="48" t="b">
        <x:v>0</x:v>
      </x:c>
      <x:c r="M165" s="48" t="inlineStr">
        <x:is>
          <x:t xml:space="preserve">Think he was a funnel hacker / spam. Blocked him. Not 1st time.</x:t>
        </x:is>
      </x:c>
      <x:c r="N165" t="n"/>
      <x:c r="O165" s="48" t="inlineStr">
        <x:is>
          <x:t xml:space="preserve">Max</x:t>
        </x:is>
      </x:c>
      <x:c r="P165" s="48" t="n"/>
      <x:c r="Q165" s="48" t="n">
        <x:v>1</x:v>
      </x:c>
      <x:c r="R165" s="48" t="n">
        <x:v>2026</x:v>
      </x:c>
    </x:row>
    <x:row r="166" s="116" customFormat="1" ht="15.75" customHeight="1">
      <x:c r="A166" s="81" t="n"/>
      <x:c r="G166" s="82" t="n"/>
    </x:row>
    <x:row r="167" s="116" customFormat="1" ht="15.75" customHeight="1">
      <x:c r="A167" s="81" t="n"/>
      <x:c r="G167" s="82" t="n"/>
    </x:row>
    <x:row r="168" s="116" customFormat="1" ht="15.75" customHeight="1">
      <x:c r="A168" s="81" t="n"/>
      <x:c r="G168" s="82" t="n"/>
    </x:row>
    <x:row r="169" s="116" customFormat="1" ht="15.75" customHeight="1">
      <x:c r="A169" s="81" t="n"/>
      <x:c r="G169" s="82" t="n"/>
    </x:row>
    <x:row r="170" s="116" customFormat="1" ht="15.75" customHeight="1">
      <x:c r="A170" s="81" t="n"/>
      <x:c r="G170" s="82" t="n"/>
    </x:row>
    <x:row r="171" s="116" customFormat="1" ht="15.75" customHeight="1">
      <x:c r="A171" s="81" t="n"/>
      <x:c r="G171" s="82" t="n"/>
    </x:row>
    <x:row r="172" s="116" customFormat="1" ht="15.75" customHeight="1">
      <x:c r="A172" s="81" t="n"/>
      <x:c r="G172" s="82" t="n"/>
    </x:row>
    <x:row r="173" s="116" customFormat="1" ht="15.75" customHeight="1">
      <x:c r="A173" s="81" t="n"/>
      <x:c r="G173" s="82" t="n"/>
    </x:row>
    <x:row r="174" s="116" customFormat="1" ht="15.75" customHeight="1">
      <x:c r="A174" s="81" t="n"/>
      <x:c r="G174" s="82" t="n"/>
    </x:row>
    <x:row r="175" s="116" customFormat="1" ht="15.75" customHeight="1">
      <x:c r="A175" s="81" t="n"/>
      <x:c r="G175" s="82" t="n"/>
    </x:row>
    <x:row r="176" s="116" customFormat="1" ht="15.75" customHeight="1">
      <x:c r="A176" s="81" t="n"/>
      <x:c r="G176" s="82" t="n"/>
    </x:row>
    <x:row r="177" s="116" customFormat="1" ht="15.75" customHeight="1">
      <x:c r="A177" s="81" t="n"/>
      <x:c r="G177" s="82" t="n"/>
    </x:row>
    <x:row r="178" s="116" customFormat="1" ht="15.75" customHeight="1">
      <x:c r="A178" s="81" t="n"/>
      <x:c r="G178" s="82" t="n"/>
    </x:row>
    <x:row r="179" s="116" customFormat="1" ht="15.75" customHeight="1">
      <x:c r="A179" s="81" t="n"/>
      <x:c r="G179" s="82" t="n"/>
    </x:row>
    <x:row r="180" s="116" customFormat="1" ht="15.75" customHeight="1">
      <x:c r="A180" s="81" t="n"/>
      <x:c r="G180" s="82" t="n"/>
    </x:row>
    <x:row r="181" s="116" customFormat="1" ht="15.75" customHeight="1">
      <x:c r="A181" s="81" t="n"/>
      <x:c r="G181" s="82" t="n"/>
    </x:row>
    <x:row r="182" s="116" customFormat="1" ht="15.75" customHeight="1">
      <x:c r="A182" s="81" t="n"/>
      <x:c r="G182" s="82" t="n"/>
    </x:row>
    <x:row r="183" s="116" customFormat="1" ht="15.75" customHeight="1">
      <x:c r="A183" s="81" t="n"/>
      <x:c r="G183" s="82" t="n"/>
    </x:row>
    <x:row r="184" s="116" customFormat="1" ht="15.75" customHeight="1">
      <x:c r="A184" s="81" t="n"/>
      <x:c r="G184" s="82" t="n"/>
    </x:row>
    <x:row r="185" s="116" customFormat="1" ht="15.75" customHeight="1">
      <x:c r="A185" s="81" t="n"/>
      <x:c r="G185" s="82" t="n"/>
    </x:row>
    <x:row r="186" s="116" customFormat="1" ht="15.75" customHeight="1">
      <x:c r="A186" s="81" t="n"/>
      <x:c r="G186" s="82" t="n"/>
    </x:row>
    <x:row r="187" s="116" customFormat="1" ht="15.75" customHeight="1">
      <x:c r="A187" s="81" t="n"/>
      <x:c r="G187" s="82" t="n"/>
    </x:row>
    <x:row r="188" s="116" customFormat="1" ht="15.75" customHeight="1">
      <x:c r="A188" s="81" t="n"/>
      <x:c r="G188" s="82" t="n"/>
    </x:row>
    <x:row r="189" s="116" customFormat="1" ht="15.75" customHeight="1">
      <x:c r="A189" s="81" t="n"/>
      <x:c r="G189" s="82" t="n"/>
    </x:row>
    <x:row r="190" s="116" customFormat="1" ht="15.75" customHeight="1">
      <x:c r="A190" s="81" t="n"/>
      <x:c r="G190" s="82" t="n"/>
    </x:row>
    <x:row r="191" s="116" customFormat="1" ht="15.75" customHeight="1">
      <x:c r="A191" s="81" t="n"/>
      <x:c r="G191" s="82" t="n"/>
    </x:row>
    <x:row r="192" s="116" customFormat="1" ht="15.75" customHeight="1">
      <x:c r="A192" s="81" t="n"/>
      <x:c r="G192" s="82" t="n"/>
    </x:row>
    <x:row r="193" s="116" customFormat="1" ht="15.75" customHeight="1">
      <x:c r="A193" s="81" t="n"/>
      <x:c r="G193" s="82" t="n"/>
    </x:row>
    <x:row r="194" s="116" customFormat="1" ht="15.75" customHeight="1">
      <x:c r="A194" s="81" t="n"/>
      <x:c r="G194" s="82" t="n"/>
    </x:row>
    <x:row r="195" s="116" customFormat="1" ht="15.75" customHeight="1">
      <x:c r="A195" s="81" t="n"/>
      <x:c r="G195" s="82" t="n"/>
    </x:row>
    <x:row r="196" s="116" customFormat="1" ht="15.75" customHeight="1">
      <x:c r="A196" s="81" t="n"/>
      <x:c r="G196" s="82" t="n"/>
    </x:row>
    <x:row r="197" s="116" customFormat="1" ht="15.75" customHeight="1">
      <x:c r="A197" s="81" t="n"/>
      <x:c r="G197" s="82" t="n"/>
    </x:row>
    <x:row r="198" s="116" customFormat="1" ht="15.75" customHeight="1">
      <x:c r="A198" s="81" t="n"/>
      <x:c r="G198" s="82" t="n"/>
    </x:row>
    <x:row r="199" s="116" customFormat="1" ht="15.75" customHeight="1">
      <x:c r="A199" s="81" t="n"/>
      <x:c r="G199" s="82" t="n"/>
    </x:row>
    <x:row r="200" s="116" customFormat="1" ht="15.75" customHeight="1">
      <x:c r="A200" s="81" t="n"/>
      <x:c r="G200" s="82" t="n"/>
    </x:row>
    <x:row r="201" s="116" customFormat="1" ht="15.75" customHeight="1">
      <x:c r="A201" s="81" t="n"/>
      <x:c r="G201" s="82" t="n"/>
    </x:row>
    <x:row r="202" s="116" customFormat="1" ht="15.75" customHeight="1">
      <x:c r="A202" s="81" t="n"/>
      <x:c r="G202" s="82" t="n"/>
    </x:row>
    <x:row r="203" s="116" customFormat="1" ht="15.75" customHeight="1">
      <x:c r="A203" s="81" t="n"/>
      <x:c r="G203" s="82" t="n"/>
    </x:row>
    <x:row r="204" s="116" customFormat="1" ht="15.75" customHeight="1">
      <x:c r="A204" s="81" t="n"/>
      <x:c r="G204" s="82" t="n"/>
    </x:row>
    <x:row r="205" s="116" customFormat="1" ht="15.75" customHeight="1">
      <x:c r="A205" s="81" t="n"/>
      <x:c r="G205" s="82" t="n"/>
    </x:row>
    <x:row r="206" s="116" customFormat="1" ht="15.75" customHeight="1">
      <x:c r="A206" s="81" t="n"/>
      <x:c r="G206" s="82" t="n"/>
    </x:row>
    <x:row r="207" s="116" customFormat="1" ht="15.75" customHeight="1">
      <x:c r="A207" s="81" t="n"/>
      <x:c r="G207" s="82" t="n"/>
    </x:row>
    <x:row r="208" s="116" customFormat="1" ht="15.75" customHeight="1">
      <x:c r="A208" s="81" t="n"/>
      <x:c r="G208" s="82" t="n"/>
    </x:row>
    <x:row r="209" s="116" customFormat="1" ht="15.75" customHeight="1">
      <x:c r="A209" s="81" t="n"/>
      <x:c r="G209" s="82" t="n"/>
    </x:row>
    <x:row r="210" s="116" customFormat="1" ht="15.75" customHeight="1">
      <x:c r="A210" s="81" t="n"/>
      <x:c r="G210" s="82" t="n"/>
    </x:row>
    <x:row r="211" s="116" customFormat="1" ht="15.75" customHeight="1">
      <x:c r="A211" s="81" t="n"/>
      <x:c r="G211" s="82" t="n"/>
    </x:row>
    <x:row r="212" s="116" customFormat="1" ht="15.75" customHeight="1">
      <x:c r="A212" s="81" t="n"/>
      <x:c r="G212" s="82" t="n"/>
    </x:row>
    <x:row r="213" s="116" customFormat="1" ht="15.75" customHeight="1">
      <x:c r="A213" s="81" t="n"/>
      <x:c r="G213" s="82" t="n"/>
    </x:row>
    <x:row r="214" s="116" customFormat="1" ht="15.75" customHeight="1">
      <x:c r="A214" s="81" t="n"/>
      <x:c r="G214" s="82" t="n"/>
    </x:row>
    <x:row r="215" s="116" customFormat="1" ht="15.75" customHeight="1">
      <x:c r="A215" s="81" t="n"/>
      <x:c r="G215" s="82" t="n"/>
    </x:row>
    <x:row r="216" s="116" customFormat="1" ht="15.75" customHeight="1">
      <x:c r="A216" s="81" t="n"/>
      <x:c r="G216" s="82" t="n"/>
    </x:row>
    <x:row r="217" s="116" customFormat="1" ht="15.75" customHeight="1">
      <x:c r="A217" s="81" t="n"/>
      <x:c r="G217" s="82" t="n"/>
    </x:row>
    <x:row r="218" s="116" customFormat="1" ht="15.75" customHeight="1">
      <x:c r="A218" s="81" t="n"/>
      <x:c r="G218" s="82" t="n"/>
    </x:row>
    <x:row r="219" s="116" customFormat="1" ht="15.75" customHeight="1">
      <x:c r="A219" s="81" t="n"/>
      <x:c r="G219" s="82" t="n"/>
    </x:row>
    <x:row r="220" s="116" customFormat="1" ht="15.75" customHeight="1">
      <x:c r="A220" s="81" t="n"/>
      <x:c r="G220" s="82" t="n"/>
    </x:row>
    <x:row r="221" s="116" customFormat="1" ht="15.75" customHeight="1">
      <x:c r="A221" s="81" t="n"/>
      <x:c r="G221" s="82" t="n"/>
    </x:row>
    <x:row r="222" s="116" customFormat="1" ht="15.75" customHeight="1">
      <x:c r="A222" s="81" t="n"/>
      <x:c r="G222" s="82" t="n"/>
    </x:row>
    <x:row r="223" s="116" customFormat="1" ht="15.75" customHeight="1">
      <x:c r="A223" s="81" t="n"/>
      <x:c r="G223" s="82" t="n"/>
    </x:row>
    <x:row r="224" s="116" customFormat="1" ht="15.75" customHeight="1">
      <x:c r="A224" s="81" t="n"/>
      <x:c r="G224" s="82" t="n"/>
    </x:row>
    <x:row r="225" s="116" customFormat="1" ht="15.75" customHeight="1">
      <x:c r="A225" s="81" t="n"/>
      <x:c r="G225" s="82" t="n"/>
    </x:row>
    <x:row r="226" s="116" customFormat="1" ht="15.75" customHeight="1">
      <x:c r="A226" s="81" t="n"/>
      <x:c r="G226" s="82" t="n"/>
    </x:row>
    <x:row r="227" s="116" customFormat="1" ht="15.75" customHeight="1">
      <x:c r="A227" s="81" t="n"/>
      <x:c r="G227" s="82" t="n"/>
    </x:row>
    <x:row r="228" s="116" customFormat="1" ht="15.75" customHeight="1">
      <x:c r="A228" s="81" t="n"/>
      <x:c r="G228" s="82" t="n"/>
    </x:row>
    <x:row r="229" s="116" customFormat="1" ht="15.75" customHeight="1">
      <x:c r="A229" s="81" t="n"/>
      <x:c r="G229" s="82" t="n"/>
    </x:row>
    <x:row r="230" s="116" customFormat="1" ht="15.75" customHeight="1">
      <x:c r="A230" s="81" t="n"/>
      <x:c r="G230" s="82" t="n"/>
    </x:row>
    <x:row r="231" s="116" customFormat="1" ht="15.75" customHeight="1">
      <x:c r="A231" s="81" t="n"/>
      <x:c r="G231" s="82" t="n"/>
    </x:row>
    <x:row r="232" s="116" customFormat="1" ht="15.75" customHeight="1">
      <x:c r="A232" s="81" t="n"/>
      <x:c r="G232" s="82" t="n"/>
    </x:row>
    <x:row r="233" s="116" customFormat="1" ht="15.75" customHeight="1">
      <x:c r="A233" s="81" t="n"/>
      <x:c r="G233" s="82" t="n"/>
    </x:row>
    <x:row r="234" s="116" customFormat="1" ht="15.75" customHeight="1">
      <x:c r="A234" s="81" t="n"/>
      <x:c r="G234" s="82" t="n"/>
    </x:row>
    <x:row r="235" s="116" customFormat="1" ht="15.75" customHeight="1">
      <x:c r="A235" s="81" t="n"/>
      <x:c r="G235" s="82" t="n"/>
    </x:row>
    <x:row r="236" s="116" customFormat="1" ht="15.75" customHeight="1">
      <x:c r="A236" s="81" t="n"/>
      <x:c r="G236" s="82" t="n"/>
    </x:row>
    <x:row r="237" s="116" customFormat="1" ht="15.75" customHeight="1">
      <x:c r="A237" s="81" t="n"/>
      <x:c r="G237" s="82" t="n"/>
    </x:row>
    <x:row r="238" s="116" customFormat="1" ht="15.75" customHeight="1">
      <x:c r="A238" s="81" t="n"/>
      <x:c r="G238" s="82" t="n"/>
    </x:row>
    <x:row r="239" s="116" customFormat="1" ht="15.75" customHeight="1">
      <x:c r="A239" s="81" t="n"/>
      <x:c r="G239" s="82" t="n"/>
    </x:row>
    <x:row r="240" s="116" customFormat="1" ht="15.75" customHeight="1">
      <x:c r="A240" s="81" t="n"/>
      <x:c r="G240" s="82" t="n"/>
    </x:row>
    <x:row r="241" s="116" customFormat="1" ht="15.75" customHeight="1">
      <x:c r="A241" s="81" t="n"/>
      <x:c r="G241" s="82" t="n"/>
    </x:row>
    <x:row r="242" s="116" customFormat="1" ht="15.75" customHeight="1">
      <x:c r="A242" s="81" t="n"/>
      <x:c r="G242" s="82" t="n"/>
    </x:row>
    <x:row r="243" s="116" customFormat="1" ht="15.75" customHeight="1">
      <x:c r="A243" s="81" t="n"/>
      <x:c r="G243" s="82" t="n"/>
    </x:row>
    <x:row r="244" s="116" customFormat="1" ht="15.75" customHeight="1">
      <x:c r="A244" s="81" t="n"/>
      <x:c r="G244" s="82" t="n"/>
    </x:row>
    <x:row r="245" s="116" customFormat="1" ht="15.75" customHeight="1">
      <x:c r="A245" s="81" t="n"/>
      <x:c r="G245" s="82" t="n"/>
    </x:row>
    <x:row r="246" s="116" customFormat="1" ht="15.75" customHeight="1">
      <x:c r="A246" s="81" t="n"/>
      <x:c r="G246" s="82" t="n"/>
    </x:row>
    <x:row r="247" s="116" customFormat="1" ht="15.75" customHeight="1">
      <x:c r="A247" s="81" t="n"/>
      <x:c r="G247" s="82" t="n"/>
    </x:row>
    <x:row r="248" s="116" customFormat="1" ht="15.75" customHeight="1">
      <x:c r="A248" s="81" t="n"/>
      <x:c r="G248" s="82" t="n"/>
    </x:row>
    <x:row r="249" s="116" customFormat="1" ht="15.75" customHeight="1">
      <x:c r="A249" s="81" t="n"/>
      <x:c r="G249" s="82" t="n"/>
    </x:row>
    <x:row r="250" s="116" customFormat="1" ht="15.75" customHeight="1">
      <x:c r="A250" s="81" t="n"/>
      <x:c r="G250" s="82" t="n"/>
    </x:row>
    <x:row r="251" s="116" customFormat="1" ht="15.75" customHeight="1">
      <x:c r="A251" s="81" t="n"/>
      <x:c r="G251" s="82" t="n"/>
    </x:row>
    <x:row r="252" s="116" customFormat="1" ht="15.75" customHeight="1">
      <x:c r="A252" s="81" t="n"/>
      <x:c r="G252" s="82" t="n"/>
    </x:row>
    <x:row r="253" s="116" customFormat="1" ht="15.75" customHeight="1">
      <x:c r="A253" s="81" t="n"/>
      <x:c r="G253" s="82" t="n"/>
    </x:row>
    <x:row r="254" s="116" customFormat="1" ht="15.75" customHeight="1">
      <x:c r="A254" s="81" t="n"/>
      <x:c r="G254" s="82" t="n"/>
    </x:row>
    <x:row r="255" s="116" customFormat="1" ht="15.75" customHeight="1">
      <x:c r="A255" s="81" t="n"/>
      <x:c r="G255" s="82" t="n"/>
    </x:row>
    <x:row r="256" s="116" customFormat="1" ht="15.75" customHeight="1">
      <x:c r="A256" s="81" t="n"/>
      <x:c r="G256" s="82" t="n"/>
    </x:row>
    <x:row r="257" s="116" customFormat="1" ht="15.75" customHeight="1">
      <x:c r="A257" s="81" t="n"/>
      <x:c r="G257" s="82" t="n"/>
    </x:row>
    <x:row r="258" s="116" customFormat="1" ht="15.75" customHeight="1">
      <x:c r="A258" s="81" t="n"/>
      <x:c r="G258" s="82" t="n"/>
    </x:row>
    <x:row r="259" s="116" customFormat="1" ht="15.75" customHeight="1">
      <x:c r="A259" s="81" t="n"/>
      <x:c r="G259" s="82" t="n"/>
    </x:row>
    <x:row r="260" s="116" customFormat="1" ht="15.75" customHeight="1">
      <x:c r="A260" s="81" t="n"/>
      <x:c r="G260" s="82" t="n"/>
    </x:row>
    <x:row r="261" s="116" customFormat="1" ht="15.75" customHeight="1">
      <x:c r="A261" s="81" t="n"/>
      <x:c r="G261" s="82" t="n"/>
    </x:row>
    <x:row r="262" s="116" customFormat="1" ht="15.75" customHeight="1">
      <x:c r="A262" s="81" t="n"/>
      <x:c r="G262" s="82" t="n"/>
    </x:row>
    <x:row r="263" s="116" customFormat="1" ht="15.75" customHeight="1">
      <x:c r="A263" s="81" t="n"/>
      <x:c r="G263" s="82" t="n"/>
    </x:row>
    <x:row r="264" s="116" customFormat="1" ht="15.75" customHeight="1">
      <x:c r="A264" s="81" t="n"/>
      <x:c r="G264" s="82" t="n"/>
    </x:row>
    <x:row r="265" s="116" customFormat="1" ht="15.75" customHeight="1">
      <x:c r="A265" s="81" t="n"/>
      <x:c r="G265" s="82" t="n"/>
    </x:row>
    <x:row r="266" s="116" customFormat="1" ht="15.75" customHeight="1">
      <x:c r="A266" s="81" t="n"/>
      <x:c r="G266" s="82" t="n"/>
    </x:row>
    <x:row r="267" s="116" customFormat="1" ht="15.75" customHeight="1">
      <x:c r="A267" s="81" t="n"/>
      <x:c r="G267" s="82" t="n"/>
    </x:row>
    <x:row r="268" s="116" customFormat="1" ht="15.75" customHeight="1">
      <x:c r="A268" s="81" t="n"/>
      <x:c r="G268" s="82" t="n"/>
    </x:row>
    <x:row r="269" s="116" customFormat="1" ht="15.75" customHeight="1">
      <x:c r="A269" s="81" t="n"/>
      <x:c r="G269" s="82" t="n"/>
    </x:row>
    <x:row r="270" s="116" customFormat="1" ht="15.75" customHeight="1">
      <x:c r="A270" s="81" t="n"/>
      <x:c r="G270" s="82" t="n"/>
    </x:row>
    <x:row r="271" s="116" customFormat="1" ht="15.75" customHeight="1">
      <x:c r="A271" s="81" t="n"/>
      <x:c r="G271" s="82" t="n"/>
    </x:row>
    <x:row r="272" s="116" customFormat="1" ht="15.75" customHeight="1">
      <x:c r="A272" s="81" t="n"/>
      <x:c r="G272" s="82" t="n"/>
    </x:row>
    <x:row r="273" s="116" customFormat="1" ht="15.75" customHeight="1">
      <x:c r="A273" s="81" t="n"/>
      <x:c r="G273" s="82" t="n"/>
    </x:row>
    <x:row r="274" s="116" customFormat="1" ht="15.75" customHeight="1">
      <x:c r="A274" s="81" t="n"/>
      <x:c r="G274" s="82" t="n"/>
    </x:row>
    <x:row r="275" s="116" customFormat="1" ht="15.75" customHeight="1">
      <x:c r="A275" s="81" t="n"/>
      <x:c r="G275" s="82" t="n"/>
    </x:row>
    <x:row r="276" s="116" customFormat="1" ht="15.75" customHeight="1">
      <x:c r="A276" s="81" t="n"/>
      <x:c r="G276" s="82" t="n"/>
    </x:row>
    <x:row r="277" s="116" customFormat="1" ht="15.75" customHeight="1">
      <x:c r="A277" s="81" t="n"/>
      <x:c r="G277" s="82" t="n"/>
    </x:row>
    <x:row r="278" s="116" customFormat="1" ht="15.75" customHeight="1">
      <x:c r="A278" s="81" t="n"/>
      <x:c r="G278" s="82" t="n"/>
    </x:row>
    <x:row r="279" s="116" customFormat="1" ht="15.75" customHeight="1">
      <x:c r="A279" s="81" t="n"/>
      <x:c r="G279" s="82" t="n"/>
    </x:row>
    <x:row r="280" s="116" customFormat="1" ht="15.75" customHeight="1">
      <x:c r="A280" s="81" t="n"/>
      <x:c r="G280" s="82" t="n"/>
    </x:row>
    <x:row r="281" s="116" customFormat="1" ht="15.75" customHeight="1">
      <x:c r="A281" s="81" t="n"/>
      <x:c r="G281" s="82" t="n"/>
    </x:row>
    <x:row r="282" s="116" customFormat="1" ht="15.75" customHeight="1">
      <x:c r="A282" s="81" t="n"/>
      <x:c r="G282" s="82" t="n"/>
    </x:row>
    <x:row r="283" s="116" customFormat="1" ht="15.75" customHeight="1">
      <x:c r="A283" s="81" t="n"/>
      <x:c r="G283" s="82" t="n"/>
    </x:row>
    <x:row r="284" s="116" customFormat="1" ht="15.75" customHeight="1">
      <x:c r="A284" s="81" t="n"/>
      <x:c r="G284" s="82" t="n"/>
    </x:row>
    <x:row r="285" s="116" customFormat="1" ht="15.75" customHeight="1">
      <x:c r="A285" s="81" t="n"/>
      <x:c r="G285" s="82" t="n"/>
    </x:row>
    <x:row r="286" s="116" customFormat="1" ht="15.75" customHeight="1">
      <x:c r="A286" s="81" t="n"/>
      <x:c r="G286" s="82" t="n"/>
    </x:row>
    <x:row r="287" s="116" customFormat="1" ht="15.75" customHeight="1">
      <x:c r="A287" s="81" t="n"/>
      <x:c r="G287" s="82" t="n"/>
    </x:row>
    <x:row r="288" s="116" customFormat="1" ht="15.75" customHeight="1">
      <x:c r="A288" s="81" t="n"/>
      <x:c r="G288" s="82" t="n"/>
    </x:row>
    <x:row r="289" s="116" customFormat="1" ht="15.75" customHeight="1">
      <x:c r="A289" s="81" t="n"/>
      <x:c r="G289" s="82" t="n"/>
    </x:row>
    <x:row r="290" s="116" customFormat="1" ht="15.75" customHeight="1">
      <x:c r="A290" s="81" t="n"/>
      <x:c r="G290" s="82" t="n"/>
    </x:row>
    <x:row r="291" s="116" customFormat="1" ht="15.75" customHeight="1">
      <x:c r="A291" s="81" t="n"/>
      <x:c r="G291" s="82" t="n"/>
    </x:row>
    <x:row r="292" s="116" customFormat="1" ht="15.75" customHeight="1">
      <x:c r="A292" s="81" t="n"/>
      <x:c r="G292" s="82" t="n"/>
    </x:row>
    <x:row r="293" s="116" customFormat="1" ht="15.75" customHeight="1">
      <x:c r="A293" s="81" t="n"/>
      <x:c r="G293" s="82" t="n"/>
    </x:row>
    <x:row r="294" s="116" customFormat="1" ht="15.75" customHeight="1">
      <x:c r="A294" s="81" t="n"/>
      <x:c r="G294" s="82" t="n"/>
    </x:row>
    <x:row r="295" s="116" customFormat="1" ht="15.75" customHeight="1">
      <x:c r="A295" s="81" t="n"/>
      <x:c r="G295" s="82" t="n"/>
    </x:row>
    <x:row r="296" s="116" customFormat="1" ht="15.75" customHeight="1">
      <x:c r="A296" s="81" t="n"/>
      <x:c r="G296" s="82" t="n"/>
    </x:row>
    <x:row r="297" s="116" customFormat="1" ht="15.75" customHeight="1">
      <x:c r="A297" s="81" t="n"/>
      <x:c r="G297" s="82" t="n"/>
    </x:row>
    <x:row r="298" s="116" customFormat="1" ht="15.75" customHeight="1">
      <x:c r="A298" s="81" t="n"/>
      <x:c r="G298" s="82" t="n"/>
    </x:row>
    <x:row r="299" s="116" customFormat="1" ht="15.75" customHeight="1">
      <x:c r="A299" s="81" t="n"/>
      <x:c r="G299" s="82" t="n"/>
    </x:row>
    <x:row r="300" s="116" customFormat="1" ht="15.75" customHeight="1">
      <x:c r="A300" s="81" t="n"/>
      <x:c r="G300" s="82" t="n"/>
    </x:row>
    <x:row r="301" s="116" customFormat="1" ht="15.75" customHeight="1">
      <x:c r="A301" s="81" t="n"/>
      <x:c r="G301" s="82" t="n"/>
    </x:row>
    <x:row r="302" s="116" customFormat="1" ht="15.75" customHeight="1">
      <x:c r="A302" s="81" t="n"/>
      <x:c r="G302" s="82" t="n"/>
    </x:row>
    <x:row r="303" s="116" customFormat="1" ht="15.75" customHeight="1">
      <x:c r="A303" s="81" t="n"/>
      <x:c r="G303" s="82" t="n"/>
    </x:row>
    <x:row r="304" s="116" customFormat="1" ht="15.75" customHeight="1">
      <x:c r="A304" s="81" t="n"/>
      <x:c r="G304" s="82" t="n"/>
    </x:row>
    <x:row r="305" s="116" customFormat="1" ht="15.75" customHeight="1">
      <x:c r="A305" s="81" t="n"/>
      <x:c r="G305" s="82" t="n"/>
    </x:row>
    <x:row r="306" s="116" customFormat="1" ht="15.75" customHeight="1">
      <x:c r="A306" s="81" t="n"/>
      <x:c r="G306" s="82" t="n"/>
    </x:row>
    <x:row r="307" s="116" customFormat="1" ht="15.75" customHeight="1">
      <x:c r="A307" s="81" t="n"/>
      <x:c r="G307" s="82" t="n"/>
    </x:row>
    <x:row r="308" s="116" customFormat="1" ht="15.75" customHeight="1">
      <x:c r="A308" s="81" t="n"/>
      <x:c r="G308" s="82" t="n"/>
    </x:row>
    <x:row r="309" s="116" customFormat="1" ht="15.75" customHeight="1">
      <x:c r="A309" s="81" t="n"/>
      <x:c r="G309" s="82" t="n"/>
    </x:row>
    <x:row r="310" s="116" customFormat="1" ht="15.75" customHeight="1">
      <x:c r="A310" s="81" t="n"/>
      <x:c r="G310" s="82" t="n"/>
    </x:row>
    <x:row r="311" s="116" customFormat="1" ht="15.75" customHeight="1">
      <x:c r="A311" s="81" t="n"/>
      <x:c r="G311" s="82" t="n"/>
    </x:row>
    <x:row r="312" s="116" customFormat="1" ht="15.75" customHeight="1">
      <x:c r="A312" s="81" t="n"/>
      <x:c r="G312" s="82" t="n"/>
    </x:row>
    <x:row r="313" s="116" customFormat="1" ht="15.75" customHeight="1">
      <x:c r="A313" s="81" t="n"/>
      <x:c r="G313" s="82" t="n"/>
    </x:row>
    <x:row r="314" s="116" customFormat="1" ht="15.75" customHeight="1">
      <x:c r="A314" s="81" t="n"/>
      <x:c r="G314" s="82" t="n"/>
    </x:row>
    <x:row r="315" s="116" customFormat="1" ht="15.75" customHeight="1">
      <x:c r="A315" s="81" t="n"/>
      <x:c r="G315" s="82" t="n"/>
    </x:row>
    <x:row r="316" s="116" customFormat="1" ht="15.75" customHeight="1">
      <x:c r="A316" s="81" t="n"/>
      <x:c r="G316" s="82" t="n"/>
    </x:row>
    <x:row r="317" s="116" customFormat="1" ht="15.75" customHeight="1">
      <x:c r="A317" s="81" t="n"/>
      <x:c r="G317" s="82" t="n"/>
    </x:row>
    <x:row r="318" s="116" customFormat="1" ht="15.75" customHeight="1">
      <x:c r="A318" s="81" t="n"/>
      <x:c r="G318" s="82" t="n"/>
    </x:row>
    <x:row r="319" s="116" customFormat="1" ht="15.75" customHeight="1">
      <x:c r="A319" s="81" t="n"/>
      <x:c r="G319" s="82" t="n"/>
    </x:row>
    <x:row r="320" s="116" customFormat="1" ht="15.75" customHeight="1">
      <x:c r="A320" s="81" t="n"/>
      <x:c r="G320" s="82" t="n"/>
    </x:row>
    <x:row r="321" s="116" customFormat="1" ht="15.75" customHeight="1">
      <x:c r="A321" s="81" t="n"/>
      <x:c r="G321" s="82" t="n"/>
    </x:row>
    <x:row r="322" s="116" customFormat="1" ht="15.75" customHeight="1">
      <x:c r="A322" s="81" t="n"/>
      <x:c r="G322" s="82" t="n"/>
    </x:row>
    <x:row r="323" s="116" customFormat="1" ht="15.75" customHeight="1">
      <x:c r="A323" s="81" t="n"/>
      <x:c r="G323" s="82" t="n"/>
    </x:row>
    <x:row r="324" s="116" customFormat="1" ht="15.75" customHeight="1">
      <x:c r="A324" s="81" t="n"/>
      <x:c r="G324" s="82" t="n"/>
    </x:row>
    <x:row r="325" s="116" customFormat="1" ht="15.75" customHeight="1">
      <x:c r="A325" s="81" t="n"/>
      <x:c r="G325" s="82" t="n"/>
    </x:row>
    <x:row r="326" s="116" customFormat="1" ht="15.75" customHeight="1">
      <x:c r="A326" s="81" t="n"/>
      <x:c r="G326" s="82" t="n"/>
    </x:row>
    <x:row r="327" s="116" customFormat="1" ht="15.75" customHeight="1">
      <x:c r="A327" s="81" t="n"/>
      <x:c r="G327" s="82" t="n"/>
    </x:row>
    <x:row r="328" s="116" customFormat="1" ht="15.75" customHeight="1">
      <x:c r="A328" s="81" t="n"/>
      <x:c r="G328" s="82" t="n"/>
    </x:row>
    <x:row r="329" s="116" customFormat="1" ht="15.75" customHeight="1">
      <x:c r="A329" s="81" t="n"/>
      <x:c r="G329" s="82" t="n"/>
    </x:row>
    <x:row r="330" s="116" customFormat="1" ht="15.75" customHeight="1">
      <x:c r="A330" s="81" t="n"/>
      <x:c r="G330" s="82" t="n"/>
    </x:row>
    <x:row r="331" s="116" customFormat="1" ht="15.75" customHeight="1">
      <x:c r="A331" s="81" t="n"/>
      <x:c r="G331" s="82" t="n"/>
    </x:row>
    <x:row r="332" s="116" customFormat="1" ht="15.75" customHeight="1">
      <x:c r="A332" s="81" t="n"/>
      <x:c r="G332" s="82" t="n"/>
    </x:row>
    <x:row r="333" s="116" customFormat="1" ht="15.75" customHeight="1">
      <x:c r="A333" s="81" t="n"/>
      <x:c r="G333" s="82" t="n"/>
    </x:row>
    <x:row r="334" s="116" customFormat="1" ht="15.75" customHeight="1">
      <x:c r="A334" s="81" t="n"/>
      <x:c r="G334" s="82" t="n"/>
    </x:row>
    <x:row r="335" s="116" customFormat="1" ht="15.75" customHeight="1">
      <x:c r="A335" s="81" t="n"/>
      <x:c r="G335" s="82" t="n"/>
    </x:row>
    <x:row r="336" s="116" customFormat="1" ht="15.75" customHeight="1">
      <x:c r="A336" s="81" t="n"/>
      <x:c r="G336" s="82" t="n"/>
    </x:row>
    <x:row r="337" s="116" customFormat="1" ht="15.75" customHeight="1">
      <x:c r="A337" s="81" t="n"/>
      <x:c r="G337" s="82" t="n"/>
    </x:row>
    <x:row r="338" s="116" customFormat="1" ht="15.75" customHeight="1">
      <x:c r="A338" s="81" t="n"/>
      <x:c r="G338" s="82" t="n"/>
    </x:row>
    <x:row r="339" s="116" customFormat="1" ht="15.75" customHeight="1">
      <x:c r="A339" s="81" t="n"/>
      <x:c r="G339" s="82" t="n"/>
    </x:row>
    <x:row r="340" s="116" customFormat="1" ht="15.75" customHeight="1">
      <x:c r="A340" s="81" t="n"/>
      <x:c r="G340" s="82" t="n"/>
    </x:row>
    <x:row r="341" s="116" customFormat="1" ht="15.75" customHeight="1">
      <x:c r="A341" s="81" t="n"/>
      <x:c r="G341" s="82" t="n"/>
    </x:row>
    <x:row r="342" s="116" customFormat="1" ht="15.75" customHeight="1">
      <x:c r="A342" s="81" t="n"/>
      <x:c r="G342" s="82" t="n"/>
    </x:row>
    <x:row r="343" s="116" customFormat="1" ht="15.75" customHeight="1">
      <x:c r="A343" s="81" t="n"/>
      <x:c r="G343" s="82" t="n"/>
    </x:row>
    <x:row r="344" s="116" customFormat="1" ht="15.75" customHeight="1">
      <x:c r="A344" s="81" t="n"/>
      <x:c r="G344" s="82" t="n"/>
    </x:row>
    <x:row r="345" s="116" customFormat="1" ht="15.75" customHeight="1">
      <x:c r="A345" s="81" t="n"/>
      <x:c r="G345" s="82" t="n"/>
    </x:row>
    <x:row r="346" s="116" customFormat="1" ht="15.75" customHeight="1">
      <x:c r="A346" s="81" t="n"/>
      <x:c r="G346" s="82" t="n"/>
    </x:row>
    <x:row r="347" s="116" customFormat="1" ht="15.75" customHeight="1">
      <x:c r="A347" s="81" t="n"/>
      <x:c r="G347" s="82" t="n"/>
    </x:row>
    <x:row r="348" s="116" customFormat="1" ht="15.75" customHeight="1">
      <x:c r="A348" s="81" t="n"/>
      <x:c r="G348" s="82" t="n"/>
    </x:row>
    <x:row r="349" s="116" customFormat="1" ht="15.75" customHeight="1">
      <x:c r="A349" s="81" t="n"/>
      <x:c r="G349" s="82" t="n"/>
    </x:row>
    <x:row r="350" s="116" customFormat="1" ht="15.75" customHeight="1">
      <x:c r="A350" s="81" t="n"/>
      <x:c r="G350" s="82" t="n"/>
    </x:row>
    <x:row r="351" s="116" customFormat="1" ht="15.75" customHeight="1">
      <x:c r="A351" s="81" t="n"/>
      <x:c r="G351" s="82" t="n"/>
    </x:row>
    <x:row r="352" s="116" customFormat="1" ht="15.75" customHeight="1">
      <x:c r="A352" s="81" t="n"/>
      <x:c r="G352" s="82" t="n"/>
    </x:row>
    <x:row r="353" s="116" customFormat="1" ht="15.75" customHeight="1">
      <x:c r="A353" s="81" t="n"/>
      <x:c r="G353" s="82" t="n"/>
    </x:row>
    <x:row r="354" s="116" customFormat="1" ht="15.75" customHeight="1">
      <x:c r="A354" s="81" t="n"/>
      <x:c r="G354" s="82" t="n"/>
    </x:row>
    <x:row r="355" s="116" customFormat="1" ht="15.75" customHeight="1">
      <x:c r="A355" s="81" t="n"/>
      <x:c r="G355" s="82" t="n"/>
    </x:row>
    <x:row r="356" s="116" customFormat="1" ht="15.75" customHeight="1">
      <x:c r="A356" s="81" t="n"/>
      <x:c r="G356" s="82" t="n"/>
    </x:row>
    <x:row r="357" s="116" customFormat="1" ht="15.75" customHeight="1">
      <x:c r="A357" s="81" t="n"/>
      <x:c r="G357" s="82" t="n"/>
    </x:row>
    <x:row r="358" s="116" customFormat="1" ht="15.75" customHeight="1">
      <x:c r="A358" s="81" t="n"/>
      <x:c r="G358" s="82" t="n"/>
    </x:row>
    <x:row r="359" s="116" customFormat="1" ht="15.75" customHeight="1">
      <x:c r="A359" s="81" t="n"/>
      <x:c r="G359" s="82" t="n"/>
    </x:row>
    <x:row r="360" s="116" customFormat="1" ht="15.75" customHeight="1">
      <x:c r="A360" s="81" t="n"/>
      <x:c r="G360" s="82" t="n"/>
    </x:row>
    <x:row r="361" s="116" customFormat="1" ht="15.75" customHeight="1">
      <x:c r="A361" s="81" t="n"/>
      <x:c r="G361" s="82" t="n"/>
    </x:row>
    <x:row r="362" s="116" customFormat="1" ht="15.75" customHeight="1">
      <x:c r="A362" s="81" t="n"/>
      <x:c r="G362" s="82" t="n"/>
    </x:row>
    <x:row r="363" s="116" customFormat="1" ht="15.75" customHeight="1">
      <x:c r="A363" s="81" t="n"/>
      <x:c r="G363" s="82" t="n"/>
    </x:row>
    <x:row r="364" s="116" customFormat="1" ht="15.75" customHeight="1">
      <x:c r="A364" s="81" t="n"/>
      <x:c r="G364" s="82" t="n"/>
    </x:row>
    <x:row r="365" s="116" customFormat="1" ht="15.75" customHeight="1">
      <x:c r="A365" s="81" t="n"/>
      <x:c r="G365" s="82" t="n"/>
    </x:row>
    <x:row r="366" s="116" customFormat="1" ht="15.75" customHeight="1">
      <x:c r="A366" s="81" t="n"/>
      <x:c r="G366" s="82" t="n"/>
    </x:row>
    <x:row r="367" s="116" customFormat="1" ht="15.75" customHeight="1">
      <x:c r="A367" s="81" t="n"/>
      <x:c r="G367" s="82" t="n"/>
    </x:row>
    <x:row r="368" s="116" customFormat="1" ht="15.75" customHeight="1">
      <x:c r="A368" s="81" t="n"/>
      <x:c r="G368" s="82" t="n"/>
    </x:row>
    <x:row r="369" s="116" customFormat="1" ht="15.75" customHeight="1">
      <x:c r="A369" s="81" t="n"/>
      <x:c r="G369" s="82" t="n"/>
    </x:row>
    <x:row r="370" s="116" customFormat="1" ht="15.75" customHeight="1">
      <x:c r="A370" s="81" t="n"/>
      <x:c r="G370" s="82" t="n"/>
    </x:row>
    <x:row r="371" s="116" customFormat="1" ht="15.75" customHeight="1">
      <x:c r="A371" s="81" t="n"/>
      <x:c r="G371" s="82" t="n"/>
    </x:row>
    <x:row r="372" s="116" customFormat="1" ht="15.75" customHeight="1">
      <x:c r="A372" s="81" t="n"/>
      <x:c r="G372" s="82" t="n"/>
    </x:row>
    <x:row r="373" s="116" customFormat="1" ht="15.75" customHeight="1">
      <x:c r="A373" s="81" t="n"/>
      <x:c r="G373" s="82" t="n"/>
    </x:row>
    <x:row r="374" s="116" customFormat="1" ht="15.75" customHeight="1">
      <x:c r="A374" s="81" t="n"/>
      <x:c r="G374" s="82" t="n"/>
    </x:row>
    <x:row r="375" s="116" customFormat="1" ht="15.75" customHeight="1">
      <x:c r="A375" s="81" t="n"/>
      <x:c r="G375" s="82" t="n"/>
    </x:row>
    <x:row r="376" s="116" customFormat="1" ht="15.75" customHeight="1">
      <x:c r="A376" s="81" t="n"/>
      <x:c r="G376" s="82" t="n"/>
    </x:row>
    <x:row r="377" s="116" customFormat="1" ht="15.75" customHeight="1">
      <x:c r="A377" s="81" t="n"/>
      <x:c r="G377" s="82" t="n"/>
    </x:row>
    <x:row r="378" s="116" customFormat="1" ht="15.75" customHeight="1">
      <x:c r="A378" s="81" t="n"/>
      <x:c r="G378" s="82" t="n"/>
    </x:row>
    <x:row r="379" s="116" customFormat="1" ht="15.75" customHeight="1">
      <x:c r="A379" s="81" t="n"/>
      <x:c r="G379" s="82" t="n"/>
    </x:row>
    <x:row r="380" s="116" customFormat="1" ht="15.75" customHeight="1">
      <x:c r="A380" s="81" t="n"/>
      <x:c r="G380" s="82" t="n"/>
    </x:row>
    <x:row r="381" s="116" customFormat="1" ht="15.75" customHeight="1">
      <x:c r="A381" s="81" t="n"/>
      <x:c r="G381" s="82" t="n"/>
    </x:row>
    <x:row r="382" s="116" customFormat="1" ht="15.75" customHeight="1">
      <x:c r="A382" s="81" t="n"/>
      <x:c r="G382" s="82" t="n"/>
    </x:row>
    <x:row r="383" s="116" customFormat="1" ht="15.75" customHeight="1">
      <x:c r="A383" s="81" t="n"/>
      <x:c r="G383" s="82" t="n"/>
    </x:row>
    <x:row r="384" s="116" customFormat="1" ht="15.75" customHeight="1">
      <x:c r="A384" s="81" t="n"/>
      <x:c r="G384" s="82" t="n"/>
    </x:row>
    <x:row r="385" s="116" customFormat="1" ht="15.75" customHeight="1">
      <x:c r="A385" s="81" t="n"/>
      <x:c r="G385" s="82" t="n"/>
    </x:row>
    <x:row r="386" s="116" customFormat="1" ht="15.75" customHeight="1">
      <x:c r="A386" s="81" t="n"/>
      <x:c r="G386" s="82" t="n"/>
    </x:row>
    <x:row r="387" s="116" customFormat="1" ht="15.75" customHeight="1">
      <x:c r="A387" s="81" t="n"/>
      <x:c r="G387" s="82" t="n"/>
    </x:row>
    <x:row r="388" s="116" customFormat="1" ht="15.75" customHeight="1">
      <x:c r="A388" s="81" t="n"/>
      <x:c r="G388" s="82" t="n"/>
    </x:row>
    <x:row r="389" s="116" customFormat="1" ht="15.75" customHeight="1">
      <x:c r="A389" s="81" t="n"/>
      <x:c r="G389" s="82" t="n"/>
    </x:row>
    <x:row r="390" s="116" customFormat="1" ht="15.75" customHeight="1">
      <x:c r="A390" s="81" t="n"/>
      <x:c r="G390" s="82" t="n"/>
    </x:row>
    <x:row r="391" s="116" customFormat="1" ht="15.75" customHeight="1">
      <x:c r="A391" s="81" t="n"/>
      <x:c r="G391" s="82" t="n"/>
    </x:row>
    <x:row r="392" s="116" customFormat="1" ht="15.75" customHeight="1">
      <x:c r="A392" s="81" t="n"/>
      <x:c r="G392" s="82" t="n"/>
    </x:row>
    <x:row r="393" s="116" customFormat="1" ht="15.75" customHeight="1">
      <x:c r="A393" s="81" t="n"/>
      <x:c r="G393" s="82" t="n"/>
    </x:row>
    <x:row r="394" s="116" customFormat="1" ht="15.75" customHeight="1">
      <x:c r="A394" s="81" t="n"/>
      <x:c r="G394" s="82" t="n"/>
    </x:row>
    <x:row r="395" s="116" customFormat="1" ht="15.75" customHeight="1">
      <x:c r="A395" s="81" t="n"/>
      <x:c r="G395" s="82" t="n"/>
    </x:row>
    <x:row r="396" s="116" customFormat="1" ht="15.75" customHeight="1">
      <x:c r="A396" s="81" t="n"/>
      <x:c r="G396" s="82" t="n"/>
    </x:row>
    <x:row r="397" s="116" customFormat="1" ht="15.75" customHeight="1">
      <x:c r="A397" s="81" t="n"/>
      <x:c r="G397" s="82" t="n"/>
    </x:row>
    <x:row r="398" s="116" customFormat="1" ht="15.75" customHeight="1">
      <x:c r="A398" s="81" t="n"/>
      <x:c r="G398" s="82" t="n"/>
    </x:row>
    <x:row r="399" s="116" customFormat="1" ht="15.75" customHeight="1">
      <x:c r="A399" s="81" t="n"/>
      <x:c r="G399" s="82" t="n"/>
    </x:row>
    <x:row r="400" s="116" customFormat="1" ht="15.75" customHeight="1">
      <x:c r="A400" s="81" t="n"/>
      <x:c r="G400" s="82" t="n"/>
    </x:row>
    <x:row r="401" s="116" customFormat="1" ht="15.75" customHeight="1">
      <x:c r="A401" s="81" t="n"/>
      <x:c r="G401" s="82" t="n"/>
    </x:row>
    <x:row r="402" s="116" customFormat="1" ht="15.75" customHeight="1">
      <x:c r="A402" s="81" t="n"/>
      <x:c r="G402" s="82" t="n"/>
    </x:row>
    <x:row r="403" s="116" customFormat="1" ht="15.75" customHeight="1">
      <x:c r="A403" s="81" t="n"/>
      <x:c r="G403" s="82" t="n"/>
    </x:row>
    <x:row r="404" s="116" customFormat="1" ht="15.75" customHeight="1">
      <x:c r="A404" s="81" t="n"/>
      <x:c r="G404" s="82" t="n"/>
    </x:row>
    <x:row r="405" s="116" customFormat="1" ht="15.75" customHeight="1">
      <x:c r="A405" s="81" t="n"/>
      <x:c r="G405" s="82" t="n"/>
    </x:row>
    <x:row r="406" s="116" customFormat="1" ht="15.75" customHeight="1">
      <x:c r="A406" s="81" t="n"/>
      <x:c r="G406" s="82" t="n"/>
    </x:row>
    <x:row r="407" s="116" customFormat="1" ht="15.75" customHeight="1">
      <x:c r="A407" s="81" t="n"/>
      <x:c r="G407" s="82" t="n"/>
    </x:row>
    <x:row r="408" s="116" customFormat="1" ht="15.75" customHeight="1">
      <x:c r="A408" s="81" t="n"/>
      <x:c r="G408" s="82" t="n"/>
    </x:row>
    <x:row r="409" s="116" customFormat="1" ht="15.75" customHeight="1">
      <x:c r="A409" s="81" t="n"/>
      <x:c r="G409" s="82" t="n"/>
    </x:row>
    <x:row r="410" s="116" customFormat="1" ht="15.75" customHeight="1">
      <x:c r="A410" s="81" t="n"/>
      <x:c r="G410" s="82" t="n"/>
    </x:row>
    <x:row r="411" s="116" customFormat="1" ht="15.75" customHeight="1">
      <x:c r="A411" s="81" t="n"/>
      <x:c r="G411" s="82" t="n"/>
    </x:row>
    <x:row r="412" s="116" customFormat="1" ht="15.75" customHeight="1">
      <x:c r="A412" s="81" t="n"/>
      <x:c r="G412" s="82" t="n"/>
    </x:row>
    <x:row r="413" s="116" customFormat="1" ht="15.75" customHeight="1">
      <x:c r="A413" s="81" t="n"/>
      <x:c r="G413" s="82" t="n"/>
    </x:row>
    <x:row r="414" s="116" customFormat="1" ht="15.75" customHeight="1">
      <x:c r="A414" s="81" t="n"/>
      <x:c r="G414" s="82" t="n"/>
    </x:row>
    <x:row r="415" s="116" customFormat="1" ht="15.75" customHeight="1">
      <x:c r="A415" s="81" t="n"/>
      <x:c r="G415" s="82" t="n"/>
    </x:row>
    <x:row r="416" s="116" customFormat="1" ht="15.75" customHeight="1">
      <x:c r="A416" s="81" t="n"/>
      <x:c r="G416" s="82" t="n"/>
    </x:row>
    <x:row r="417" s="116" customFormat="1" ht="15.75" customHeight="1">
      <x:c r="A417" s="81" t="n"/>
      <x:c r="G417" s="82" t="n"/>
    </x:row>
    <x:row r="418" s="116" customFormat="1" ht="15.75" customHeight="1">
      <x:c r="A418" s="81" t="n"/>
      <x:c r="G418" s="82" t="n"/>
    </x:row>
    <x:row r="419" s="116" customFormat="1" ht="15.75" customHeight="1">
      <x:c r="A419" s="81" t="n"/>
      <x:c r="G419" s="82" t="n"/>
    </x:row>
    <x:row r="420" s="116" customFormat="1" ht="15.75" customHeight="1">
      <x:c r="A420" s="81" t="n"/>
      <x:c r="G420" s="82" t="n"/>
    </x:row>
    <x:row r="421" s="116" customFormat="1" ht="15.75" customHeight="1">
      <x:c r="A421" s="81" t="n"/>
      <x:c r="G421" s="82" t="n"/>
    </x:row>
    <x:row r="422" s="116" customFormat="1" ht="15.75" customHeight="1">
      <x:c r="A422" s="81" t="n"/>
      <x:c r="G422" s="82" t="n"/>
    </x:row>
    <x:row r="423" s="116" customFormat="1" ht="15.75" customHeight="1">
      <x:c r="A423" s="81" t="n"/>
      <x:c r="G423" s="82" t="n"/>
    </x:row>
    <x:row r="424" s="116" customFormat="1" ht="15.75" customHeight="1">
      <x:c r="A424" s="81" t="n"/>
      <x:c r="G424" s="82" t="n"/>
    </x:row>
    <x:row r="425" s="116" customFormat="1" ht="15.75" customHeight="1">
      <x:c r="A425" s="81" t="n"/>
      <x:c r="G425" s="82" t="n"/>
    </x:row>
    <x:row r="426" s="116" customFormat="1" ht="15.75" customHeight="1">
      <x:c r="A426" s="81" t="n"/>
      <x:c r="G426" s="82" t="n"/>
    </x:row>
    <x:row r="427" s="116" customFormat="1" ht="15.75" customHeight="1">
      <x:c r="A427" s="81" t="n"/>
      <x:c r="G427" s="82" t="n"/>
    </x:row>
    <x:row r="428" s="116" customFormat="1" ht="15.75" customHeight="1">
      <x:c r="A428" s="81" t="n"/>
      <x:c r="G428" s="82" t="n"/>
    </x:row>
    <x:row r="429" s="116" customFormat="1" ht="15.75" customHeight="1">
      <x:c r="A429" s="81" t="n"/>
      <x:c r="G429" s="82" t="n"/>
    </x:row>
    <x:row r="430" s="116" customFormat="1" ht="15.75" customHeight="1">
      <x:c r="A430" s="81" t="n"/>
      <x:c r="G430" s="82" t="n"/>
    </x:row>
    <x:row r="431" s="116" customFormat="1" ht="15.75" customHeight="1">
      <x:c r="A431" s="81" t="n"/>
      <x:c r="G431" s="82" t="n"/>
    </x:row>
    <x:row r="432" s="116" customFormat="1" ht="15.75" customHeight="1">
      <x:c r="A432" s="81" t="n"/>
      <x:c r="G432" s="82" t="n"/>
    </x:row>
    <x:row r="433" s="116" customFormat="1" ht="15.75" customHeight="1">
      <x:c r="A433" s="81" t="n"/>
      <x:c r="G433" s="82" t="n"/>
    </x:row>
    <x:row r="434" s="116" customFormat="1" ht="15.75" customHeight="1">
      <x:c r="A434" s="81" t="n"/>
      <x:c r="G434" s="82" t="n"/>
    </x:row>
    <x:row r="435" s="116" customFormat="1" ht="15.75" customHeight="1">
      <x:c r="A435" s="81" t="n"/>
      <x:c r="G435" s="82" t="n"/>
    </x:row>
    <x:row r="436" s="116" customFormat="1" ht="15.75" customHeight="1">
      <x:c r="A436" s="81" t="n"/>
      <x:c r="G436" s="82" t="n"/>
    </x:row>
    <x:row r="437" s="116" customFormat="1" ht="15.75" customHeight="1">
      <x:c r="A437" s="81" t="n"/>
      <x:c r="G437" s="82" t="n"/>
    </x:row>
    <x:row r="438" s="116" customFormat="1" ht="15.75" customHeight="1">
      <x:c r="A438" s="81" t="n"/>
      <x:c r="G438" s="82" t="n"/>
    </x:row>
    <x:row r="439" s="116" customFormat="1" ht="15.75" customHeight="1">
      <x:c r="A439" s="81" t="n"/>
      <x:c r="G439" s="82" t="n"/>
    </x:row>
    <x:row r="440" s="116" customFormat="1" ht="15.75" customHeight="1">
      <x:c r="A440" s="81" t="n"/>
      <x:c r="G440" s="82" t="n"/>
    </x:row>
    <x:row r="441" s="116" customFormat="1" ht="15.75" customHeight="1">
      <x:c r="A441" s="81" t="n"/>
      <x:c r="G441" s="82" t="n"/>
    </x:row>
    <x:row r="442" s="116" customFormat="1" ht="15.75" customHeight="1">
      <x:c r="A442" s="81" t="n"/>
      <x:c r="G442" s="82" t="n"/>
    </x:row>
    <x:row r="443" s="116" customFormat="1" ht="15.75" customHeight="1">
      <x:c r="A443" s="81" t="n"/>
      <x:c r="G443" s="82" t="n"/>
    </x:row>
    <x:row r="444" s="116" customFormat="1" ht="15.75" customHeight="1">
      <x:c r="A444" s="81" t="n"/>
      <x:c r="G444" s="82" t="n"/>
    </x:row>
    <x:row r="445" s="116" customFormat="1" ht="15.75" customHeight="1">
      <x:c r="A445" s="81" t="n"/>
      <x:c r="G445" s="82" t="n"/>
    </x:row>
    <x:row r="446" s="116" customFormat="1" ht="15.75" customHeight="1">
      <x:c r="A446" s="81" t="n"/>
      <x:c r="G446" s="82" t="n"/>
    </x:row>
    <x:row r="447" s="116" customFormat="1" ht="15.75" customHeight="1">
      <x:c r="A447" s="81" t="n"/>
      <x:c r="G447" s="82" t="n"/>
    </x:row>
    <x:row r="448" s="116" customFormat="1" ht="15.75" customHeight="1">
      <x:c r="A448" s="81" t="n"/>
      <x:c r="G448" s="82" t="n"/>
    </x:row>
    <x:row r="449" s="116" customFormat="1" ht="15.75" customHeight="1">
      <x:c r="A449" s="81" t="n"/>
      <x:c r="G449" s="82" t="n"/>
    </x:row>
    <x:row r="450" s="116" customFormat="1" ht="15.75" customHeight="1">
      <x:c r="A450" s="81" t="n"/>
      <x:c r="G450" s="82" t="n"/>
    </x:row>
    <x:row r="451" s="116" customFormat="1" ht="15.75" customHeight="1">
      <x:c r="A451" s="81" t="n"/>
      <x:c r="G451" s="82" t="n"/>
    </x:row>
    <x:row r="452" s="116" customFormat="1" ht="15.75" customHeight="1">
      <x:c r="A452" s="81" t="n"/>
      <x:c r="G452" s="82" t="n"/>
    </x:row>
    <x:row r="453" s="116" customFormat="1" ht="15.75" customHeight="1">
      <x:c r="A453" s="81" t="n"/>
      <x:c r="G453" s="82" t="n"/>
    </x:row>
    <x:row r="454" s="116" customFormat="1" ht="15.75" customHeight="1">
      <x:c r="A454" s="81" t="n"/>
      <x:c r="G454" s="82" t="n"/>
    </x:row>
    <x:row r="455" s="116" customFormat="1" ht="15.75" customHeight="1">
      <x:c r="A455" s="81" t="n"/>
      <x:c r="G455" s="82" t="n"/>
    </x:row>
    <x:row r="456" s="116" customFormat="1" ht="15.75" customHeight="1">
      <x:c r="A456" s="81" t="n"/>
      <x:c r="G456" s="82" t="n"/>
    </x:row>
    <x:row r="457" s="116" customFormat="1" ht="15.75" customHeight="1">
      <x:c r="A457" s="81" t="n"/>
      <x:c r="G457" s="82" t="n"/>
    </x:row>
    <x:row r="458" s="116" customFormat="1" ht="15.75" customHeight="1">
      <x:c r="A458" s="81" t="n"/>
      <x:c r="G458" s="82" t="n"/>
    </x:row>
    <x:row r="459" s="116" customFormat="1" ht="15.75" customHeight="1">
      <x:c r="A459" s="81" t="n"/>
      <x:c r="G459" s="82" t="n"/>
    </x:row>
    <x:row r="460" s="116" customFormat="1" ht="15.75" customHeight="1">
      <x:c r="A460" s="81" t="n"/>
      <x:c r="G460" s="82" t="n"/>
    </x:row>
    <x:row r="461" s="116" customFormat="1" ht="15.75" customHeight="1">
      <x:c r="A461" s="81" t="n"/>
      <x:c r="G461" s="82" t="n"/>
    </x:row>
    <x:row r="462" s="116" customFormat="1" ht="15.75" customHeight="1">
      <x:c r="A462" s="81" t="n"/>
      <x:c r="G462" s="82" t="n"/>
    </x:row>
    <x:row r="463" s="116" customFormat="1" ht="15.75" customHeight="1">
      <x:c r="A463" s="81" t="n"/>
      <x:c r="G463" s="82" t="n"/>
    </x:row>
    <x:row r="464" s="116" customFormat="1" ht="15.75" customHeight="1">
      <x:c r="A464" s="81" t="n"/>
      <x:c r="G464" s="82" t="n"/>
    </x:row>
    <x:row r="465" s="116" customFormat="1" ht="15.75" customHeight="1">
      <x:c r="A465" s="81" t="n"/>
      <x:c r="G465" s="82" t="n"/>
    </x:row>
    <x:row r="466" s="116" customFormat="1" ht="15.75" customHeight="1">
      <x:c r="A466" s="81" t="n"/>
      <x:c r="G466" s="82" t="n"/>
    </x:row>
    <x:row r="467" s="116" customFormat="1" ht="15.75" customHeight="1">
      <x:c r="A467" s="81" t="n"/>
      <x:c r="G467" s="82" t="n"/>
    </x:row>
    <x:row r="468" s="116" customFormat="1" ht="15.75" customHeight="1">
      <x:c r="A468" s="81" t="n"/>
      <x:c r="G468" s="82" t="n"/>
    </x:row>
    <x:row r="469" s="116" customFormat="1" ht="15.75" customHeight="1">
      <x:c r="A469" s="81" t="n"/>
      <x:c r="G469" s="82" t="n"/>
    </x:row>
    <x:row r="470" s="116" customFormat="1" ht="15.75" customHeight="1">
      <x:c r="A470" s="81" t="n"/>
      <x:c r="G470" s="82" t="n"/>
    </x:row>
    <x:row r="471" s="116" customFormat="1" ht="15.75" customHeight="1">
      <x:c r="A471" s="81" t="n"/>
      <x:c r="G471" s="82" t="n"/>
    </x:row>
    <x:row r="472" s="116" customFormat="1" ht="15.75" customHeight="1">
      <x:c r="A472" s="81" t="n"/>
      <x:c r="G472" s="82" t="n"/>
    </x:row>
    <x:row r="473" s="116" customFormat="1" ht="15.75" customHeight="1">
      <x:c r="A473" s="81" t="n"/>
      <x:c r="G473" s="82" t="n"/>
    </x:row>
    <x:row r="474" s="116" customFormat="1" ht="15.75" customHeight="1">
      <x:c r="A474" s="81" t="n"/>
      <x:c r="G474" s="82" t="n"/>
    </x:row>
    <x:row r="475" s="116" customFormat="1" ht="15.75" customHeight="1">
      <x:c r="A475" s="81" t="n"/>
      <x:c r="G475" s="82" t="n"/>
    </x:row>
    <x:row r="476" s="116" customFormat="1" ht="15.75" customHeight="1">
      <x:c r="A476" s="81" t="n"/>
      <x:c r="G476" s="82" t="n"/>
    </x:row>
    <x:row r="477" s="116" customFormat="1" ht="15.75" customHeight="1">
      <x:c r="A477" s="81" t="n"/>
      <x:c r="G477" s="82" t="n"/>
    </x:row>
    <x:row r="478" s="116" customFormat="1" ht="15.75" customHeight="1">
      <x:c r="A478" s="81" t="n"/>
      <x:c r="G478" s="82" t="n"/>
    </x:row>
    <x:row r="479" s="116" customFormat="1" ht="15.75" customHeight="1">
      <x:c r="A479" s="81" t="n"/>
      <x:c r="G479" s="82" t="n"/>
    </x:row>
    <x:row r="480" s="116" customFormat="1" ht="15.75" customHeight="1">
      <x:c r="A480" s="81" t="n"/>
      <x:c r="G480" s="82" t="n"/>
    </x:row>
    <x:row r="481" s="116" customFormat="1" ht="15.75" customHeight="1">
      <x:c r="A481" s="81" t="n"/>
      <x:c r="G481" s="82" t="n"/>
    </x:row>
    <x:row r="482" s="116" customFormat="1" ht="15.75" customHeight="1">
      <x:c r="A482" s="81" t="n"/>
      <x:c r="G482" s="82" t="n"/>
    </x:row>
    <x:row r="483" s="116" customFormat="1" ht="15.75" customHeight="1">
      <x:c r="A483" s="81" t="n"/>
      <x:c r="G483" s="82" t="n"/>
    </x:row>
    <x:row r="484" s="116" customFormat="1" ht="15.75" customHeight="1">
      <x:c r="A484" s="81" t="n"/>
      <x:c r="G484" s="82" t="n"/>
    </x:row>
    <x:row r="485" s="116" customFormat="1" ht="15.75" customHeight="1">
      <x:c r="A485" s="81" t="n"/>
      <x:c r="G485" s="82" t="n"/>
    </x:row>
    <x:row r="486" s="116" customFormat="1" ht="15.75" customHeight="1">
      <x:c r="A486" s="81" t="n"/>
      <x:c r="G486" s="82" t="n"/>
    </x:row>
    <x:row r="487" s="116" customFormat="1" ht="15.75" customHeight="1">
      <x:c r="A487" s="81" t="n"/>
      <x:c r="G487" s="82" t="n"/>
    </x:row>
    <x:row r="488" s="116" customFormat="1" ht="15.75" customHeight="1">
      <x:c r="A488" s="81" t="n"/>
      <x:c r="G488" s="82" t="n"/>
    </x:row>
    <x:row r="489" s="116" customFormat="1" ht="15.75" customHeight="1">
      <x:c r="A489" s="81" t="n"/>
      <x:c r="G489" s="82" t="n"/>
    </x:row>
    <x:row r="490" s="116" customFormat="1" ht="15.75" customHeight="1">
      <x:c r="A490" s="81" t="n"/>
      <x:c r="G490" s="82" t="n"/>
    </x:row>
    <x:row r="491" s="116" customFormat="1" ht="15.75" customHeight="1">
      <x:c r="A491" s="81" t="n"/>
      <x:c r="G491" s="82" t="n"/>
    </x:row>
    <x:row r="492" s="116" customFormat="1" ht="15.75" customHeight="1">
      <x:c r="A492" s="81" t="n"/>
      <x:c r="G492" s="82" t="n"/>
    </x:row>
    <x:row r="493" s="116" customFormat="1" ht="15.75" customHeight="1">
      <x:c r="A493" s="81" t="n"/>
      <x:c r="G493" s="82" t="n"/>
    </x:row>
    <x:row r="494" s="116" customFormat="1" ht="15.75" customHeight="1">
      <x:c r="A494" s="81" t="n"/>
      <x:c r="G494" s="82" t="n"/>
    </x:row>
    <x:row r="495" s="116" customFormat="1" ht="15.75" customHeight="1">
      <x:c r="A495" s="81" t="n"/>
      <x:c r="G495" s="82" t="n"/>
    </x:row>
    <x:row r="496" s="116" customFormat="1" ht="15.75" customHeight="1">
      <x:c r="A496" s="81" t="n"/>
      <x:c r="G496" s="82" t="n"/>
    </x:row>
    <x:row r="497" s="116" customFormat="1" ht="15.75" customHeight="1">
      <x:c r="A497" s="81" t="n"/>
      <x:c r="G497" s="82" t="n"/>
    </x:row>
    <x:row r="498" s="116" customFormat="1" ht="15.75" customHeight="1">
      <x:c r="A498" s="81" t="n"/>
      <x:c r="G498" s="82" t="n"/>
    </x:row>
    <x:row r="499" s="116" customFormat="1" ht="15.75" customHeight="1">
      <x:c r="A499" s="81" t="n"/>
      <x:c r="G499" s="82" t="n"/>
    </x:row>
    <x:row r="500" s="116" customFormat="1" ht="15.75" customHeight="1">
      <x:c r="A500" s="81" t="n"/>
      <x:c r="G500" s="82" t="n"/>
    </x:row>
    <x:row r="501" s="116" customFormat="1" ht="15.75" customHeight="1">
      <x:c r="A501" s="81" t="n"/>
      <x:c r="G501" s="82" t="n"/>
    </x:row>
    <x:row r="502" s="116" customFormat="1" ht="15.75" customHeight="1">
      <x:c r="A502" s="81" t="n"/>
      <x:c r="G502" s="82" t="n"/>
    </x:row>
    <x:row r="503" s="116" customFormat="1" ht="15.75" customHeight="1">
      <x:c r="A503" s="81" t="n"/>
      <x:c r="G503" s="82" t="n"/>
    </x:row>
    <x:row r="504" s="116" customFormat="1" ht="15.75" customHeight="1">
      <x:c r="A504" s="81" t="n"/>
      <x:c r="G504" s="82" t="n"/>
    </x:row>
    <x:row r="505" s="116" customFormat="1" ht="15.75" customHeight="1">
      <x:c r="A505" s="81" t="n"/>
      <x:c r="G505" s="82" t="n"/>
    </x:row>
    <x:row r="506" s="116" customFormat="1" ht="15.75" customHeight="1">
      <x:c r="A506" s="81" t="n"/>
      <x:c r="G506" s="82" t="n"/>
    </x:row>
    <x:row r="507" s="116" customFormat="1" ht="15.75" customHeight="1">
      <x:c r="A507" s="81" t="n"/>
      <x:c r="G507" s="82" t="n"/>
    </x:row>
    <x:row r="508" s="116" customFormat="1" ht="15.75" customHeight="1">
      <x:c r="A508" s="81" t="n"/>
      <x:c r="G508" s="82" t="n"/>
    </x:row>
    <x:row r="509" s="116" customFormat="1" ht="15.75" customHeight="1">
      <x:c r="A509" s="81" t="n"/>
      <x:c r="G509" s="82" t="n"/>
    </x:row>
    <x:row r="510" s="116" customFormat="1" ht="15.75" customHeight="1">
      <x:c r="A510" s="81" t="n"/>
      <x:c r="G510" s="82" t="n"/>
    </x:row>
    <x:row r="511" s="116" customFormat="1" ht="15.75" customHeight="1">
      <x:c r="A511" s="81" t="n"/>
      <x:c r="G511" s="82" t="n"/>
    </x:row>
    <x:row r="512" s="116" customFormat="1" ht="15.75" customHeight="1">
      <x:c r="A512" s="81" t="n"/>
      <x:c r="G512" s="82" t="n"/>
    </x:row>
    <x:row r="513" s="116" customFormat="1" ht="15.75" customHeight="1">
      <x:c r="A513" s="81" t="n"/>
      <x:c r="G513" s="82" t="n"/>
    </x:row>
    <x:row r="514" s="116" customFormat="1" ht="15.75" customHeight="1">
      <x:c r="A514" s="81" t="n"/>
      <x:c r="G514" s="82" t="n"/>
    </x:row>
    <x:row r="515" s="116" customFormat="1" ht="15.75" customHeight="1">
      <x:c r="A515" s="81" t="n"/>
      <x:c r="G515" s="82" t="n"/>
    </x:row>
    <x:row r="516" s="116" customFormat="1" ht="15.75" customHeight="1">
      <x:c r="A516" s="81" t="n"/>
      <x:c r="G516" s="82" t="n"/>
    </x:row>
    <x:row r="517" s="116" customFormat="1" ht="15.75" customHeight="1">
      <x:c r="A517" s="81" t="n"/>
      <x:c r="G517" s="82" t="n"/>
    </x:row>
    <x:row r="518" s="116" customFormat="1" ht="15.75" customHeight="1">
      <x:c r="A518" s="81" t="n"/>
      <x:c r="G518" s="82" t="n"/>
    </x:row>
    <x:row r="519" s="116" customFormat="1" ht="15.75" customHeight="1">
      <x:c r="A519" s="81" t="n"/>
      <x:c r="G519" s="82" t="n"/>
    </x:row>
    <x:row r="520" s="116" customFormat="1" ht="15.75" customHeight="1">
      <x:c r="A520" s="81" t="n"/>
      <x:c r="G520" s="82" t="n"/>
    </x:row>
    <x:row r="521" s="116" customFormat="1" ht="15.75" customHeight="1">
      <x:c r="A521" s="81" t="n"/>
      <x:c r="G521" s="82" t="n"/>
    </x:row>
    <x:row r="522" s="116" customFormat="1" ht="15.75" customHeight="1">
      <x:c r="A522" s="81" t="n"/>
      <x:c r="G522" s="82" t="n"/>
    </x:row>
    <x:row r="523" s="116" customFormat="1" ht="15.75" customHeight="1">
      <x:c r="A523" s="81" t="n"/>
      <x:c r="G523" s="82" t="n"/>
    </x:row>
    <x:row r="524" s="116" customFormat="1" ht="15.75" customHeight="1">
      <x:c r="A524" s="81" t="n"/>
      <x:c r="G524" s="82" t="n"/>
    </x:row>
    <x:row r="525" s="116" customFormat="1" ht="15.75" customHeight="1">
      <x:c r="A525" s="81" t="n"/>
      <x:c r="G525" s="82" t="n"/>
    </x:row>
    <x:row r="526" s="116" customFormat="1" ht="15.75" customHeight="1">
      <x:c r="A526" s="81" t="n"/>
      <x:c r="G526" s="82" t="n"/>
    </x:row>
    <x:row r="527" s="116" customFormat="1" ht="15.75" customHeight="1">
      <x:c r="A527" s="81" t="n"/>
      <x:c r="G527" s="82" t="n"/>
    </x:row>
    <x:row r="528" s="116" customFormat="1" ht="15.75" customHeight="1">
      <x:c r="A528" s="81" t="n"/>
      <x:c r="G528" s="82" t="n"/>
    </x:row>
    <x:row r="529" s="116" customFormat="1" ht="15.75" customHeight="1">
      <x:c r="A529" s="81" t="n"/>
      <x:c r="G529" s="82" t="n"/>
    </x:row>
    <x:row r="530" s="116" customFormat="1" ht="15.75" customHeight="1">
      <x:c r="A530" s="81" t="n"/>
      <x:c r="G530" s="82" t="n"/>
    </x:row>
    <x:row r="531" s="116" customFormat="1" ht="15.75" customHeight="1">
      <x:c r="A531" s="81" t="n"/>
      <x:c r="G531" s="82" t="n"/>
    </x:row>
    <x:row r="532" s="116" customFormat="1" ht="15.75" customHeight="1">
      <x:c r="A532" s="81" t="n"/>
      <x:c r="G532" s="82" t="n"/>
    </x:row>
    <x:row r="533" s="116" customFormat="1" ht="15.75" customHeight="1">
      <x:c r="A533" s="81" t="n"/>
      <x:c r="G533" s="82" t="n"/>
    </x:row>
    <x:row r="534" s="116" customFormat="1" ht="15.75" customHeight="1">
      <x:c r="A534" s="81" t="n"/>
      <x:c r="G534" s="82" t="n"/>
    </x:row>
    <x:row r="535" s="116" customFormat="1" ht="15.75" customHeight="1">
      <x:c r="A535" s="81" t="n"/>
      <x:c r="G535" s="82" t="n"/>
    </x:row>
    <x:row r="536" s="116" customFormat="1" ht="15.75" customHeight="1">
      <x:c r="A536" s="81" t="n"/>
      <x:c r="G536" s="82" t="n"/>
    </x:row>
    <x:row r="537" s="116" customFormat="1" ht="15.75" customHeight="1">
      <x:c r="A537" s="81" t="n"/>
      <x:c r="G537" s="82" t="n"/>
    </x:row>
    <x:row r="538" s="116" customFormat="1" ht="15.75" customHeight="1">
      <x:c r="A538" s="81" t="n"/>
      <x:c r="G538" s="82" t="n"/>
    </x:row>
    <x:row r="539" s="116" customFormat="1" ht="15.75" customHeight="1">
      <x:c r="A539" s="81" t="n"/>
      <x:c r="G539" s="82" t="n"/>
    </x:row>
    <x:row r="540" s="116" customFormat="1" ht="15.75" customHeight="1">
      <x:c r="A540" s="81" t="n"/>
      <x:c r="G540" s="82" t="n"/>
    </x:row>
    <x:row r="541" s="116" customFormat="1" ht="15.75" customHeight="1">
      <x:c r="A541" s="81" t="n"/>
      <x:c r="G541" s="82" t="n"/>
    </x:row>
    <x:row r="542" s="116" customFormat="1" ht="15.75" customHeight="1">
      <x:c r="A542" s="81" t="n"/>
      <x:c r="G542" s="82" t="n"/>
    </x:row>
    <x:row r="543" s="116" customFormat="1" ht="15.75" customHeight="1">
      <x:c r="A543" s="81" t="n"/>
      <x:c r="G543" s="82" t="n"/>
    </x:row>
    <x:row r="544" s="116" customFormat="1" ht="15.75" customHeight="1">
      <x:c r="A544" s="81" t="n"/>
      <x:c r="G544" s="82" t="n"/>
    </x:row>
    <x:row r="545" s="116" customFormat="1" ht="15.75" customHeight="1">
      <x:c r="A545" s="81" t="n"/>
      <x:c r="G545" s="82" t="n"/>
    </x:row>
    <x:row r="546" s="116" customFormat="1" ht="15.75" customHeight="1">
      <x:c r="A546" s="81" t="n"/>
      <x:c r="G546" s="82" t="n"/>
    </x:row>
    <x:row r="547" s="116" customFormat="1" ht="15.75" customHeight="1">
      <x:c r="A547" s="81" t="n"/>
      <x:c r="G547" s="82" t="n"/>
    </x:row>
    <x:row r="548" s="116" customFormat="1" ht="15.75" customHeight="1">
      <x:c r="A548" s="81" t="n"/>
      <x:c r="G548" s="82" t="n"/>
    </x:row>
    <x:row r="549" s="116" customFormat="1" ht="15.75" customHeight="1">
      <x:c r="A549" s="81" t="n"/>
      <x:c r="G549" s="82" t="n"/>
    </x:row>
    <x:row r="550" s="116" customFormat="1" ht="15.75" customHeight="1">
      <x:c r="A550" s="81" t="n"/>
      <x:c r="G550" s="82" t="n"/>
    </x:row>
    <x:row r="551" s="116" customFormat="1" ht="15.75" customHeight="1">
      <x:c r="A551" s="81" t="n"/>
      <x:c r="G551" s="82" t="n"/>
    </x:row>
    <x:row r="552" s="116" customFormat="1" ht="15.75" customHeight="1">
      <x:c r="A552" s="81" t="n"/>
      <x:c r="G552" s="82" t="n"/>
    </x:row>
    <x:row r="553" s="116" customFormat="1" ht="15.75" customHeight="1">
      <x:c r="A553" s="81" t="n"/>
      <x:c r="G553" s="82" t="n"/>
    </x:row>
    <x:row r="554" s="116" customFormat="1" ht="15.75" customHeight="1">
      <x:c r="A554" s="81" t="n"/>
      <x:c r="G554" s="82" t="n"/>
    </x:row>
    <x:row r="555" s="116" customFormat="1" ht="15.75" customHeight="1">
      <x:c r="A555" s="81" t="n"/>
      <x:c r="G555" s="82" t="n"/>
    </x:row>
    <x:row r="556" s="116" customFormat="1" ht="15.75" customHeight="1">
      <x:c r="A556" s="81" t="n"/>
      <x:c r="G556" s="82" t="n"/>
    </x:row>
    <x:row r="557" s="116" customFormat="1" ht="15.75" customHeight="1">
      <x:c r="A557" s="81" t="n"/>
      <x:c r="G557" s="82" t="n"/>
    </x:row>
    <x:row r="558" s="116" customFormat="1" ht="15.75" customHeight="1">
      <x:c r="A558" s="81" t="n"/>
      <x:c r="G558" s="82" t="n"/>
    </x:row>
    <x:row r="559" s="116" customFormat="1" ht="15.75" customHeight="1">
      <x:c r="A559" s="81" t="n"/>
      <x:c r="G559" s="82" t="n"/>
    </x:row>
    <x:row r="560" s="116" customFormat="1" ht="15.75" customHeight="1">
      <x:c r="A560" s="81" t="n"/>
      <x:c r="G560" s="82" t="n"/>
    </x:row>
    <x:row r="561" s="116" customFormat="1" ht="15.75" customHeight="1">
      <x:c r="A561" s="81" t="n"/>
      <x:c r="G561" s="82" t="n"/>
    </x:row>
    <x:row r="562" s="116" customFormat="1" ht="15.75" customHeight="1">
      <x:c r="A562" s="81" t="n"/>
      <x:c r="G562" s="82" t="n"/>
    </x:row>
    <x:row r="563" s="116" customFormat="1" ht="15.75" customHeight="1">
      <x:c r="A563" s="81" t="n"/>
      <x:c r="G563" s="82" t="n"/>
    </x:row>
    <x:row r="564" s="116" customFormat="1" ht="15.75" customHeight="1">
      <x:c r="A564" s="81" t="n"/>
      <x:c r="G564" s="82" t="n"/>
    </x:row>
    <x:row r="565" s="116" customFormat="1" ht="15.75" customHeight="1">
      <x:c r="A565" s="81" t="n"/>
      <x:c r="G565" s="82" t="n"/>
    </x:row>
    <x:row r="566" s="116" customFormat="1" ht="15.75" customHeight="1">
      <x:c r="A566" s="81" t="n"/>
      <x:c r="G566" s="82" t="n"/>
    </x:row>
    <x:row r="567" s="116" customFormat="1" ht="15.75" customHeight="1">
      <x:c r="A567" s="81" t="n"/>
      <x:c r="G567" s="82" t="n"/>
    </x:row>
    <x:row r="568" s="116" customFormat="1" ht="15.75" customHeight="1">
      <x:c r="A568" s="81" t="n"/>
      <x:c r="G568" s="82" t="n"/>
    </x:row>
    <x:row r="569" s="116" customFormat="1" ht="15.75" customHeight="1">
      <x:c r="A569" s="81" t="n"/>
      <x:c r="G569" s="82" t="n"/>
    </x:row>
    <x:row r="570" s="116" customFormat="1" ht="15.75" customHeight="1">
      <x:c r="A570" s="81" t="n"/>
      <x:c r="G570" s="82" t="n"/>
    </x:row>
    <x:row r="571" s="116" customFormat="1" ht="15.75" customHeight="1">
      <x:c r="A571" s="81" t="n"/>
      <x:c r="G571" s="82" t="n"/>
    </x:row>
    <x:row r="572" s="116" customFormat="1" ht="15.75" customHeight="1">
      <x:c r="A572" s="81" t="n"/>
      <x:c r="G572" s="82" t="n"/>
    </x:row>
    <x:row r="573" s="116" customFormat="1" ht="15.75" customHeight="1">
      <x:c r="A573" s="81" t="n"/>
      <x:c r="G573" s="82" t="n"/>
    </x:row>
    <x:row r="574" s="116" customFormat="1" ht="15.75" customHeight="1">
      <x:c r="A574" s="81" t="n"/>
      <x:c r="G574" s="82" t="n"/>
    </x:row>
    <x:row r="575" s="116" customFormat="1" ht="15.75" customHeight="1">
      <x:c r="A575" s="81" t="n"/>
      <x:c r="G575" s="82" t="n"/>
    </x:row>
    <x:row r="576" s="116" customFormat="1" ht="15.75" customHeight="1">
      <x:c r="A576" s="81" t="n"/>
      <x:c r="G576" s="82" t="n"/>
    </x:row>
    <x:row r="577" s="116" customFormat="1" ht="15.75" customHeight="1">
      <x:c r="A577" s="81" t="n"/>
      <x:c r="G577" s="82" t="n"/>
    </x:row>
    <x:row r="578" s="116" customFormat="1" ht="15.75" customHeight="1">
      <x:c r="A578" s="81" t="n"/>
      <x:c r="G578" s="82" t="n"/>
    </x:row>
    <x:row r="579" s="116" customFormat="1" ht="15.75" customHeight="1">
      <x:c r="A579" s="81" t="n"/>
      <x:c r="G579" s="82" t="n"/>
    </x:row>
    <x:row r="580" s="116" customFormat="1" ht="15.75" customHeight="1">
      <x:c r="A580" s="81" t="n"/>
      <x:c r="G580" s="82" t="n"/>
    </x:row>
    <x:row r="581" s="116" customFormat="1" ht="15.75" customHeight="1">
      <x:c r="A581" s="81" t="n"/>
      <x:c r="G581" s="82" t="n"/>
    </x:row>
    <x:row r="582" s="116" customFormat="1" ht="15.75" customHeight="1">
      <x:c r="A582" s="81" t="n"/>
      <x:c r="G582" s="82" t="n"/>
    </x:row>
    <x:row r="583" s="116" customFormat="1" ht="15.75" customHeight="1">
      <x:c r="A583" s="81" t="n"/>
      <x:c r="G583" s="82" t="n"/>
    </x:row>
    <x:row r="584" s="116" customFormat="1" ht="15.75" customHeight="1">
      <x:c r="A584" s="81" t="n"/>
      <x:c r="G584" s="82" t="n"/>
    </x:row>
    <x:row r="585" s="116" customFormat="1" ht="15.75" customHeight="1">
      <x:c r="A585" s="81" t="n"/>
      <x:c r="G585" s="82" t="n"/>
    </x:row>
    <x:row r="586" s="116" customFormat="1" ht="15.75" customHeight="1">
      <x:c r="A586" s="81" t="n"/>
      <x:c r="G586" s="82" t="n"/>
    </x:row>
    <x:row r="587" s="116" customFormat="1" ht="15.75" customHeight="1">
      <x:c r="A587" s="81" t="n"/>
      <x:c r="G587" s="82" t="n"/>
    </x:row>
    <x:row r="588" s="116" customFormat="1" ht="15.75" customHeight="1">
      <x:c r="A588" s="81" t="n"/>
      <x:c r="G588" s="82" t="n"/>
    </x:row>
    <x:row r="589" s="116" customFormat="1" ht="15.75" customHeight="1">
      <x:c r="A589" s="81" t="n"/>
      <x:c r="G589" s="82" t="n"/>
    </x:row>
    <x:row r="590" s="116" customFormat="1" ht="15.75" customHeight="1">
      <x:c r="A590" s="81" t="n"/>
      <x:c r="G590" s="82" t="n"/>
    </x:row>
    <x:row r="591" s="116" customFormat="1" ht="15.75" customHeight="1">
      <x:c r="A591" s="81" t="n"/>
      <x:c r="G591" s="82" t="n"/>
    </x:row>
    <x:row r="592" s="116" customFormat="1" ht="15.75" customHeight="1">
      <x:c r="A592" s="81" t="n"/>
      <x:c r="G592" s="82" t="n"/>
    </x:row>
    <x:row r="593" s="116" customFormat="1" ht="15.75" customHeight="1">
      <x:c r="A593" s="81" t="n"/>
      <x:c r="G593" s="82" t="n"/>
    </x:row>
    <x:row r="594" s="116" customFormat="1" ht="15.75" customHeight="1">
      <x:c r="A594" s="81" t="n"/>
      <x:c r="G594" s="82" t="n"/>
    </x:row>
    <x:row r="595" s="116" customFormat="1" ht="15.75" customHeight="1">
      <x:c r="A595" s="81" t="n"/>
      <x:c r="G595" s="82" t="n"/>
    </x:row>
    <x:row r="596" s="116" customFormat="1" ht="15.75" customHeight="1">
      <x:c r="A596" s="81" t="n"/>
      <x:c r="G596" s="82" t="n"/>
    </x:row>
    <x:row r="597" s="116" customFormat="1" ht="15.75" customHeight="1">
      <x:c r="A597" s="81" t="n"/>
      <x:c r="G597" s="82" t="n"/>
    </x:row>
    <x:row r="598" s="116" customFormat="1" ht="15.75" customHeight="1">
      <x:c r="A598" s="81" t="n"/>
      <x:c r="G598" s="82" t="n"/>
    </x:row>
    <x:row r="599" s="116" customFormat="1" ht="15.75" customHeight="1">
      <x:c r="A599" s="81" t="n"/>
      <x:c r="G599" s="82" t="n"/>
    </x:row>
    <x:row r="600" s="116" customFormat="1" ht="15.75" customHeight="1">
      <x:c r="A600" s="81" t="n"/>
      <x:c r="G600" s="82" t="n"/>
    </x:row>
    <x:row r="601" s="116" customFormat="1" ht="15.75" customHeight="1">
      <x:c r="A601" s="81" t="n"/>
      <x:c r="G601" s="82" t="n"/>
    </x:row>
    <x:row r="602" s="116" customFormat="1" ht="15.75" customHeight="1">
      <x:c r="A602" s="81" t="n"/>
      <x:c r="G602" s="82" t="n"/>
    </x:row>
    <x:row r="603" s="116" customFormat="1" ht="15.75" customHeight="1">
      <x:c r="A603" s="81" t="n"/>
      <x:c r="G603" s="82" t="n"/>
    </x:row>
    <x:row r="604" s="116" customFormat="1" ht="15.75" customHeight="1">
      <x:c r="A604" s="81" t="n"/>
      <x:c r="G604" s="82" t="n"/>
    </x:row>
    <x:row r="605" s="116" customFormat="1" ht="15.75" customHeight="1">
      <x:c r="A605" s="81" t="n"/>
      <x:c r="G605" s="82" t="n"/>
    </x:row>
    <x:row r="606" s="116" customFormat="1" ht="15.75" customHeight="1">
      <x:c r="A606" s="81" t="n"/>
      <x:c r="G606" s="82" t="n"/>
    </x:row>
    <x:row r="607" s="116" customFormat="1" ht="15.75" customHeight="1">
      <x:c r="A607" s="81" t="n"/>
      <x:c r="G607" s="82" t="n"/>
    </x:row>
    <x:row r="608" s="116" customFormat="1" ht="15.75" customHeight="1">
      <x:c r="A608" s="81" t="n"/>
      <x:c r="G608" s="82" t="n"/>
    </x:row>
    <x:row r="609" s="116" customFormat="1" ht="15.75" customHeight="1">
      <x:c r="A609" s="81" t="n"/>
      <x:c r="G609" s="82" t="n"/>
    </x:row>
    <x:row r="610" s="116" customFormat="1" ht="15.75" customHeight="1">
      <x:c r="A610" s="81" t="n"/>
      <x:c r="G610" s="82" t="n"/>
    </x:row>
    <x:row r="611" s="116" customFormat="1" ht="15.75" customHeight="1">
      <x:c r="A611" s="81" t="n"/>
      <x:c r="G611" s="82" t="n"/>
    </x:row>
    <x:row r="612" s="116" customFormat="1" ht="15.75" customHeight="1">
      <x:c r="A612" s="81" t="n"/>
      <x:c r="G612" s="82" t="n"/>
    </x:row>
    <x:row r="613" s="116" customFormat="1" ht="15.75" customHeight="1">
      <x:c r="A613" s="81" t="n"/>
      <x:c r="G613" s="82" t="n"/>
    </x:row>
    <x:row r="614" s="116" customFormat="1" ht="15.75" customHeight="1">
      <x:c r="A614" s="81" t="n"/>
      <x:c r="G614" s="82" t="n"/>
    </x:row>
    <x:row r="615" s="116" customFormat="1" ht="15.75" customHeight="1">
      <x:c r="A615" s="81" t="n"/>
      <x:c r="G615" s="82" t="n"/>
    </x:row>
    <x:row r="616" s="116" customFormat="1" ht="15.75" customHeight="1">
      <x:c r="A616" s="81" t="n"/>
      <x:c r="G616" s="82" t="n"/>
    </x:row>
    <x:row r="617" s="116" customFormat="1" ht="15.75" customHeight="1">
      <x:c r="A617" s="81" t="n"/>
      <x:c r="G617" s="82" t="n"/>
    </x:row>
    <x:row r="618" s="116" customFormat="1" ht="15.75" customHeight="1">
      <x:c r="A618" s="81" t="n"/>
      <x:c r="G618" s="82" t="n"/>
    </x:row>
    <x:row r="619" s="116" customFormat="1" ht="15.75" customHeight="1">
      <x:c r="A619" s="81" t="n"/>
      <x:c r="G619" s="82" t="n"/>
    </x:row>
    <x:row r="620" s="116" customFormat="1" ht="15.75" customHeight="1">
      <x:c r="A620" s="81" t="n"/>
      <x:c r="G620" s="82" t="n"/>
    </x:row>
    <x:row r="621" s="116" customFormat="1" ht="15.75" customHeight="1">
      <x:c r="A621" s="81" t="n"/>
      <x:c r="G621" s="82" t="n"/>
    </x:row>
    <x:row r="622" s="116" customFormat="1" ht="15.75" customHeight="1">
      <x:c r="A622" s="81" t="n"/>
      <x:c r="G622" s="82" t="n"/>
    </x:row>
    <x:row r="623" s="116" customFormat="1" ht="15.75" customHeight="1">
      <x:c r="A623" s="81" t="n"/>
      <x:c r="G623" s="82" t="n"/>
    </x:row>
    <x:row r="624" s="116" customFormat="1" ht="15.75" customHeight="1">
      <x:c r="A624" s="81" t="n"/>
      <x:c r="G624" s="82" t="n"/>
    </x:row>
    <x:row r="625" s="116" customFormat="1" ht="15.75" customHeight="1">
      <x:c r="A625" s="81" t="n"/>
      <x:c r="G625" s="82" t="n"/>
    </x:row>
    <x:row r="626" s="116" customFormat="1" ht="15.75" customHeight="1">
      <x:c r="A626" s="81" t="n"/>
      <x:c r="G626" s="82" t="n"/>
    </x:row>
    <x:row r="627" s="116" customFormat="1" ht="15.75" customHeight="1">
      <x:c r="A627" s="81" t="n"/>
      <x:c r="G627" s="82" t="n"/>
    </x:row>
    <x:row r="628" s="116" customFormat="1" ht="15.75" customHeight="1">
      <x:c r="A628" s="81" t="n"/>
      <x:c r="G628" s="82" t="n"/>
    </x:row>
    <x:row r="629" s="116" customFormat="1" ht="15.75" customHeight="1">
      <x:c r="A629" s="81" t="n"/>
      <x:c r="G629" s="82" t="n"/>
    </x:row>
    <x:row r="630" s="116" customFormat="1" ht="15.75" customHeight="1">
      <x:c r="A630" s="81" t="n"/>
      <x:c r="G630" s="82" t="n"/>
    </x:row>
    <x:row r="631" s="116" customFormat="1" ht="15.75" customHeight="1">
      <x:c r="A631" s="81" t="n"/>
      <x:c r="G631" s="82" t="n"/>
    </x:row>
    <x:row r="632" s="116" customFormat="1" ht="15.75" customHeight="1">
      <x:c r="A632" s="81" t="n"/>
      <x:c r="G632" s="82" t="n"/>
    </x:row>
    <x:row r="633" s="116" customFormat="1" ht="15.75" customHeight="1">
      <x:c r="A633" s="81" t="n"/>
      <x:c r="G633" s="82" t="n"/>
    </x:row>
    <x:row r="634" s="116" customFormat="1" ht="15.75" customHeight="1">
      <x:c r="A634" s="81" t="n"/>
      <x:c r="G634" s="82" t="n"/>
    </x:row>
    <x:row r="635" s="116" customFormat="1" ht="15.75" customHeight="1">
      <x:c r="A635" s="81" t="n"/>
      <x:c r="G635" s="82" t="n"/>
    </x:row>
    <x:row r="636" s="116" customFormat="1" ht="15.75" customHeight="1">
      <x:c r="A636" s="81" t="n"/>
      <x:c r="G636" s="82" t="n"/>
    </x:row>
    <x:row r="637" s="116" customFormat="1" ht="15.75" customHeight="1">
      <x:c r="A637" s="81" t="n"/>
      <x:c r="G637" s="82" t="n"/>
    </x:row>
    <x:row r="638" s="116" customFormat="1" ht="15.75" customHeight="1">
      <x:c r="A638" s="81" t="n"/>
      <x:c r="G638" s="82" t="n"/>
    </x:row>
    <x:row r="639" s="116" customFormat="1" ht="15.75" customHeight="1">
      <x:c r="A639" s="81" t="n"/>
      <x:c r="G639" s="82" t="n"/>
    </x:row>
    <x:row r="640" s="116" customFormat="1" ht="15.75" customHeight="1">
      <x:c r="A640" s="81" t="n"/>
      <x:c r="G640" s="82" t="n"/>
    </x:row>
    <x:row r="641" s="116" customFormat="1" ht="15.75" customHeight="1">
      <x:c r="A641" s="81" t="n"/>
      <x:c r="G641" s="82" t="n"/>
    </x:row>
    <x:row r="642" s="116" customFormat="1" ht="15.75" customHeight="1">
      <x:c r="A642" s="81" t="n"/>
      <x:c r="G642" s="82" t="n"/>
    </x:row>
    <x:row r="643" s="116" customFormat="1" ht="15.75" customHeight="1">
      <x:c r="A643" s="81" t="n"/>
      <x:c r="G643" s="82" t="n"/>
    </x:row>
    <x:row r="644" s="116" customFormat="1" ht="15.75" customHeight="1">
      <x:c r="A644" s="81" t="n"/>
      <x:c r="G644" s="82" t="n"/>
    </x:row>
    <x:row r="645" s="116" customFormat="1" ht="15.75" customHeight="1">
      <x:c r="A645" s="81" t="n"/>
      <x:c r="G645" s="82" t="n"/>
    </x:row>
    <x:row r="646" s="116" customFormat="1" ht="15.75" customHeight="1">
      <x:c r="A646" s="81" t="n"/>
      <x:c r="G646" s="82" t="n"/>
    </x:row>
    <x:row r="647" s="116" customFormat="1" ht="15.75" customHeight="1">
      <x:c r="A647" s="81" t="n"/>
      <x:c r="G647" s="82" t="n"/>
    </x:row>
    <x:row r="648" s="116" customFormat="1" ht="15.75" customHeight="1">
      <x:c r="A648" s="81" t="n"/>
      <x:c r="G648" s="82" t="n"/>
    </x:row>
    <x:row r="649" s="116" customFormat="1" ht="15.75" customHeight="1">
      <x:c r="A649" s="81" t="n"/>
      <x:c r="G649" s="82" t="n"/>
    </x:row>
    <x:row r="650" s="116" customFormat="1" ht="15.75" customHeight="1">
      <x:c r="A650" s="81" t="n"/>
      <x:c r="G650" s="82" t="n"/>
    </x:row>
    <x:row r="651" s="116" customFormat="1" ht="15.75" customHeight="1">
      <x:c r="A651" s="81" t="n"/>
      <x:c r="G651" s="82" t="n"/>
    </x:row>
    <x:row r="652" s="116" customFormat="1" ht="15.75" customHeight="1">
      <x:c r="A652" s="81" t="n"/>
      <x:c r="G652" s="82" t="n"/>
    </x:row>
    <x:row r="653" s="116" customFormat="1" ht="15.75" customHeight="1">
      <x:c r="A653" s="81" t="n"/>
      <x:c r="G653" s="82" t="n"/>
    </x:row>
    <x:row r="654" s="116" customFormat="1" ht="15.75" customHeight="1">
      <x:c r="A654" s="81" t="n"/>
      <x:c r="G654" s="82" t="n"/>
    </x:row>
    <x:row r="655" s="116" customFormat="1" ht="15.75" customHeight="1">
      <x:c r="A655" s="81" t="n"/>
      <x:c r="G655" s="82" t="n"/>
    </x:row>
    <x:row r="656" s="116" customFormat="1" ht="15.75" customHeight="1">
      <x:c r="A656" s="81" t="n"/>
      <x:c r="G656" s="82" t="n"/>
    </x:row>
    <x:row r="657" s="116" customFormat="1" ht="15.75" customHeight="1">
      <x:c r="A657" s="81" t="n"/>
      <x:c r="G657" s="82" t="n"/>
    </x:row>
    <x:row r="658" s="116" customFormat="1" ht="15.75" customHeight="1">
      <x:c r="A658" s="81" t="n"/>
      <x:c r="G658" s="82" t="n"/>
    </x:row>
    <x:row r="659" s="116" customFormat="1" ht="15.75" customHeight="1">
      <x:c r="A659" s="81" t="n"/>
      <x:c r="G659" s="82" t="n"/>
    </x:row>
    <x:row r="660" s="116" customFormat="1" ht="15.75" customHeight="1">
      <x:c r="A660" s="81" t="n"/>
      <x:c r="G660" s="82" t="n"/>
    </x:row>
    <x:row r="661" s="116" customFormat="1" ht="15.75" customHeight="1">
      <x:c r="A661" s="81" t="n"/>
      <x:c r="G661" s="82" t="n"/>
    </x:row>
    <x:row r="662" s="116" customFormat="1" ht="15.75" customHeight="1">
      <x:c r="A662" s="81" t="n"/>
      <x:c r="G662" s="82" t="n"/>
    </x:row>
    <x:row r="663" s="116" customFormat="1" ht="15.75" customHeight="1">
      <x:c r="A663" s="81" t="n"/>
      <x:c r="G663" s="82" t="n"/>
    </x:row>
    <x:row r="664" s="116" customFormat="1" ht="15.75" customHeight="1">
      <x:c r="A664" s="81" t="n"/>
      <x:c r="G664" s="82" t="n"/>
    </x:row>
    <x:row r="665" s="116" customFormat="1" ht="15.75" customHeight="1">
      <x:c r="A665" s="81" t="n"/>
      <x:c r="G665" s="82" t="n"/>
    </x:row>
    <x:row r="666" s="116" customFormat="1" ht="15.75" customHeight="1">
      <x:c r="A666" s="81" t="n"/>
      <x:c r="G666" s="82" t="n"/>
    </x:row>
    <x:row r="667" s="116" customFormat="1" ht="15.75" customHeight="1">
      <x:c r="A667" s="81" t="n"/>
      <x:c r="G667" s="82" t="n"/>
    </x:row>
    <x:row r="668" s="116" customFormat="1" ht="15.75" customHeight="1">
      <x:c r="A668" s="81" t="n"/>
      <x:c r="G668" s="82" t="n"/>
    </x:row>
    <x:row r="669" s="116" customFormat="1" ht="15.75" customHeight="1">
      <x:c r="A669" s="81" t="n"/>
      <x:c r="G669" s="82" t="n"/>
    </x:row>
    <x:row r="670" s="116" customFormat="1" ht="15.75" customHeight="1">
      <x:c r="A670" s="81" t="n"/>
      <x:c r="G670" s="82" t="n"/>
    </x:row>
    <x:row r="671" s="116" customFormat="1" ht="15.75" customHeight="1">
      <x:c r="A671" s="81" t="n"/>
      <x:c r="G671" s="82" t="n"/>
    </x:row>
    <x:row r="672" s="116" customFormat="1" ht="15.75" customHeight="1">
      <x:c r="A672" s="81" t="n"/>
      <x:c r="G672" s="82" t="n"/>
    </x:row>
    <x:row r="673" s="116" customFormat="1" ht="15.75" customHeight="1">
      <x:c r="A673" s="81" t="n"/>
      <x:c r="G673" s="82" t="n"/>
    </x:row>
    <x:row r="674" s="116" customFormat="1" ht="15.75" customHeight="1">
      <x:c r="A674" s="81" t="n"/>
      <x:c r="G674" s="82" t="n"/>
    </x:row>
    <x:row r="675" s="116" customFormat="1" ht="15.75" customHeight="1">
      <x:c r="A675" s="81" t="n"/>
      <x:c r="G675" s="82" t="n"/>
    </x:row>
    <x:row r="676" s="116" customFormat="1" ht="15.75" customHeight="1">
      <x:c r="A676" s="81" t="n"/>
      <x:c r="G676" s="82" t="n"/>
    </x:row>
    <x:row r="677" s="116" customFormat="1" ht="15.75" customHeight="1">
      <x:c r="A677" s="81" t="n"/>
      <x:c r="G677" s="82" t="n"/>
    </x:row>
    <x:row r="678" s="116" customFormat="1" ht="15.75" customHeight="1">
      <x:c r="A678" s="81" t="n"/>
      <x:c r="G678" s="82" t="n"/>
    </x:row>
    <x:row r="679" s="116" customFormat="1" ht="15.75" customHeight="1">
      <x:c r="A679" s="81" t="n"/>
      <x:c r="G679" s="82" t="n"/>
    </x:row>
    <x:row r="680" s="116" customFormat="1" ht="15.75" customHeight="1">
      <x:c r="A680" s="81" t="n"/>
      <x:c r="G680" s="82" t="n"/>
    </x:row>
    <x:row r="681" s="116" customFormat="1" ht="15.75" customHeight="1">
      <x:c r="A681" s="81" t="n"/>
      <x:c r="G681" s="82" t="n"/>
    </x:row>
    <x:row r="682" s="116" customFormat="1" ht="15.75" customHeight="1">
      <x:c r="A682" s="81" t="n"/>
      <x:c r="G682" s="82" t="n"/>
    </x:row>
    <x:row r="683" s="116" customFormat="1" ht="15.75" customHeight="1">
      <x:c r="A683" s="81" t="n"/>
      <x:c r="G683" s="82" t="n"/>
    </x:row>
    <x:row r="684" s="116" customFormat="1" ht="15.75" customHeight="1">
      <x:c r="A684" s="81" t="n"/>
      <x:c r="G684" s="82" t="n"/>
    </x:row>
    <x:row r="685" s="116" customFormat="1" ht="15.75" customHeight="1">
      <x:c r="A685" s="81" t="n"/>
      <x:c r="G685" s="82" t="n"/>
    </x:row>
    <x:row r="686" s="116" customFormat="1" ht="15.75" customHeight="1">
      <x:c r="A686" s="81" t="n"/>
      <x:c r="G686" s="82" t="n"/>
    </x:row>
    <x:row r="687" s="116" customFormat="1" ht="15.75" customHeight="1">
      <x:c r="A687" s="81" t="n"/>
      <x:c r="G687" s="82" t="n"/>
    </x:row>
    <x:row r="688" s="116" customFormat="1" ht="15.75" customHeight="1">
      <x:c r="A688" s="81" t="n"/>
      <x:c r="G688" s="82" t="n"/>
    </x:row>
    <x:row r="689" s="116" customFormat="1" ht="15.75" customHeight="1">
      <x:c r="A689" s="81" t="n"/>
      <x:c r="G689" s="82" t="n"/>
    </x:row>
    <x:row r="690" s="116" customFormat="1" ht="15.75" customHeight="1">
      <x:c r="A690" s="81" t="n"/>
      <x:c r="G690" s="82" t="n"/>
    </x:row>
    <x:row r="691" s="116" customFormat="1" ht="15.75" customHeight="1">
      <x:c r="A691" s="81" t="n"/>
      <x:c r="G691" s="82" t="n"/>
    </x:row>
    <x:row r="692" s="116" customFormat="1" ht="15.75" customHeight="1">
      <x:c r="A692" s="81" t="n"/>
      <x:c r="G692" s="82" t="n"/>
    </x:row>
    <x:row r="693" s="116" customFormat="1" ht="15.75" customHeight="1">
      <x:c r="A693" s="81" t="n"/>
      <x:c r="G693" s="82" t="n"/>
    </x:row>
    <x:row r="694" s="116" customFormat="1" ht="15.75" customHeight="1">
      <x:c r="A694" s="81" t="n"/>
      <x:c r="G694" s="82" t="n"/>
    </x:row>
    <x:row r="695" s="116" customFormat="1" ht="15.75" customHeight="1">
      <x:c r="A695" s="81" t="n"/>
      <x:c r="G695" s="82" t="n"/>
    </x:row>
    <x:row r="696" s="116" customFormat="1" ht="15.75" customHeight="1">
      <x:c r="A696" s="81" t="n"/>
      <x:c r="G696" s="82" t="n"/>
    </x:row>
    <x:row r="697" s="116" customFormat="1" ht="15.75" customHeight="1">
      <x:c r="A697" s="81" t="n"/>
      <x:c r="G697" s="82" t="n"/>
    </x:row>
    <x:row r="698" s="116" customFormat="1" ht="15.75" customHeight="1">
      <x:c r="A698" s="81" t="n"/>
      <x:c r="G698" s="82" t="n"/>
    </x:row>
    <x:row r="699" s="116" customFormat="1" ht="15.75" customHeight="1">
      <x:c r="A699" s="81" t="n"/>
      <x:c r="G699" s="82" t="n"/>
    </x:row>
    <x:row r="700" s="116" customFormat="1" ht="15.75" customHeight="1">
      <x:c r="A700" s="81" t="n"/>
      <x:c r="G700" s="82" t="n"/>
    </x:row>
    <x:row r="701" s="116" customFormat="1" ht="15.75" customHeight="1">
      <x:c r="A701" s="81" t="n"/>
      <x:c r="G701" s="82" t="n"/>
    </x:row>
    <x:row r="702" s="116" customFormat="1" ht="15.75" customHeight="1">
      <x:c r="A702" s="81" t="n"/>
      <x:c r="G702" s="82" t="n"/>
    </x:row>
    <x:row r="703" s="116" customFormat="1" ht="15.75" customHeight="1">
      <x:c r="A703" s="81" t="n"/>
      <x:c r="G703" s="82" t="n"/>
    </x:row>
    <x:row r="704" s="116" customFormat="1" ht="15.75" customHeight="1">
      <x:c r="A704" s="81" t="n"/>
      <x:c r="G704" s="82" t="n"/>
    </x:row>
    <x:row r="705" s="116" customFormat="1" ht="15.75" customHeight="1">
      <x:c r="A705" s="81" t="n"/>
      <x:c r="G705" s="82" t="n"/>
    </x:row>
    <x:row r="706" s="116" customFormat="1" ht="15.75" customHeight="1">
      <x:c r="A706" s="81" t="n"/>
      <x:c r="G706" s="82" t="n"/>
    </x:row>
    <x:row r="707" s="116" customFormat="1" ht="15.75" customHeight="1">
      <x:c r="A707" s="81" t="n"/>
      <x:c r="G707" s="82" t="n"/>
    </x:row>
    <x:row r="708" s="116" customFormat="1" ht="15.75" customHeight="1">
      <x:c r="A708" s="81" t="n"/>
      <x:c r="G708" s="82" t="n"/>
    </x:row>
    <x:row r="709" s="116" customFormat="1" ht="15.75" customHeight="1">
      <x:c r="A709" s="81" t="n"/>
      <x:c r="G709" s="82" t="n"/>
    </x:row>
    <x:row r="710" s="116" customFormat="1" ht="15.75" customHeight="1">
      <x:c r="A710" s="81" t="n"/>
      <x:c r="G710" s="82" t="n"/>
    </x:row>
    <x:row r="711" s="116" customFormat="1" ht="15.75" customHeight="1">
      <x:c r="A711" s="81" t="n"/>
      <x:c r="G711" s="82" t="n"/>
    </x:row>
    <x:row r="712" s="116" customFormat="1" ht="15.75" customHeight="1">
      <x:c r="A712" s="81" t="n"/>
      <x:c r="G712" s="82" t="n"/>
    </x:row>
    <x:row r="713" s="116" customFormat="1" ht="15.75" customHeight="1">
      <x:c r="A713" s="81" t="n"/>
      <x:c r="G713" s="82" t="n"/>
    </x:row>
    <x:row r="714" s="116" customFormat="1" ht="15.75" customHeight="1">
      <x:c r="A714" s="81" t="n"/>
      <x:c r="G714" s="82" t="n"/>
    </x:row>
    <x:row r="715" s="116" customFormat="1" ht="15.75" customHeight="1">
      <x:c r="A715" s="81" t="n"/>
      <x:c r="G715" s="82" t="n"/>
    </x:row>
    <x:row r="716" s="116" customFormat="1" ht="15.75" customHeight="1">
      <x:c r="A716" s="81" t="n"/>
      <x:c r="G716" s="82" t="n"/>
    </x:row>
    <x:row r="717" s="116" customFormat="1" ht="15.75" customHeight="1">
      <x:c r="A717" s="81" t="n"/>
      <x:c r="G717" s="82" t="n"/>
    </x:row>
    <x:row r="718" s="116" customFormat="1" ht="15.75" customHeight="1">
      <x:c r="A718" s="81" t="n"/>
      <x:c r="G718" s="82" t="n"/>
    </x:row>
    <x:row r="719" s="116" customFormat="1" ht="15.75" customHeight="1">
      <x:c r="A719" s="81" t="n"/>
      <x:c r="G719" s="82" t="n"/>
    </x:row>
    <x:row r="720" s="116" customFormat="1" ht="15.75" customHeight="1">
      <x:c r="A720" s="81" t="n"/>
      <x:c r="G720" s="82" t="n"/>
    </x:row>
    <x:row r="721" s="116" customFormat="1" ht="15.75" customHeight="1">
      <x:c r="A721" s="81" t="n"/>
      <x:c r="G721" s="82" t="n"/>
    </x:row>
    <x:row r="722" s="116" customFormat="1" ht="15.75" customHeight="1">
      <x:c r="A722" s="81" t="n"/>
      <x:c r="G722" s="82" t="n"/>
    </x:row>
    <x:row r="723" s="116" customFormat="1" ht="15.75" customHeight="1">
      <x:c r="A723" s="81" t="n"/>
      <x:c r="G723" s="82" t="n"/>
    </x:row>
    <x:row r="724" s="116" customFormat="1" ht="15.75" customHeight="1">
      <x:c r="A724" s="81" t="n"/>
      <x:c r="G724" s="82" t="n"/>
    </x:row>
    <x:row r="725" s="116" customFormat="1" ht="15.75" customHeight="1">
      <x:c r="A725" s="81" t="n"/>
      <x:c r="G725" s="82" t="n"/>
    </x:row>
    <x:row r="726" s="116" customFormat="1" ht="15.75" customHeight="1">
      <x:c r="A726" s="81" t="n"/>
      <x:c r="G726" s="82" t="n"/>
    </x:row>
    <x:row r="727" s="116" customFormat="1" ht="15.75" customHeight="1">
      <x:c r="A727" s="81" t="n"/>
      <x:c r="G727" s="82" t="n"/>
    </x:row>
    <x:row r="728" s="116" customFormat="1" ht="15.75" customHeight="1">
      <x:c r="A728" s="81" t="n"/>
      <x:c r="G728" s="82" t="n"/>
    </x:row>
    <x:row r="729" s="116" customFormat="1" ht="15.75" customHeight="1">
      <x:c r="A729" s="81" t="n"/>
      <x:c r="G729" s="82" t="n"/>
    </x:row>
    <x:row r="730" s="116" customFormat="1" ht="15.75" customHeight="1">
      <x:c r="A730" s="81" t="n"/>
      <x:c r="G730" s="82" t="n"/>
    </x:row>
    <x:row r="731" s="116" customFormat="1" ht="15.75" customHeight="1">
      <x:c r="A731" s="81" t="n"/>
      <x:c r="G731" s="82" t="n"/>
    </x:row>
    <x:row r="732" s="116" customFormat="1" ht="15.75" customHeight="1">
      <x:c r="A732" s="81" t="n"/>
      <x:c r="G732" s="82" t="n"/>
    </x:row>
    <x:row r="733" s="116" customFormat="1" ht="15.75" customHeight="1">
      <x:c r="A733" s="81" t="n"/>
      <x:c r="G733" s="82" t="n"/>
    </x:row>
    <x:row r="734" s="116" customFormat="1" ht="15.75" customHeight="1">
      <x:c r="A734" s="81" t="n"/>
      <x:c r="G734" s="82" t="n"/>
    </x:row>
    <x:row r="735" s="116" customFormat="1" ht="15.75" customHeight="1">
      <x:c r="A735" s="81" t="n"/>
      <x:c r="G735" s="82" t="n"/>
    </x:row>
    <x:row r="736" s="116" customFormat="1" ht="15.75" customHeight="1">
      <x:c r="A736" s="81" t="n"/>
      <x:c r="G736" s="82" t="n"/>
    </x:row>
    <x:row r="737" s="116" customFormat="1" ht="15.75" customHeight="1">
      <x:c r="A737" s="81" t="n"/>
      <x:c r="G737" s="82" t="n"/>
    </x:row>
    <x:row r="738" s="116" customFormat="1" ht="15.75" customHeight="1">
      <x:c r="A738" s="81" t="n"/>
      <x:c r="G738" s="82" t="n"/>
    </x:row>
    <x:row r="739" s="116" customFormat="1" ht="15.75" customHeight="1">
      <x:c r="A739" s="81" t="n"/>
      <x:c r="G739" s="82" t="n"/>
    </x:row>
    <x:row r="740" s="116" customFormat="1" ht="15.75" customHeight="1">
      <x:c r="A740" s="81" t="n"/>
      <x:c r="G740" s="82" t="n"/>
    </x:row>
    <x:row r="741" s="116" customFormat="1" ht="15.75" customHeight="1">
      <x:c r="A741" s="81" t="n"/>
      <x:c r="G741" s="82" t="n"/>
    </x:row>
    <x:row r="742" s="116" customFormat="1" ht="15.75" customHeight="1">
      <x:c r="A742" s="81" t="n"/>
      <x:c r="G742" s="82" t="n"/>
    </x:row>
    <x:row r="743" s="116" customFormat="1" ht="15.75" customHeight="1">
      <x:c r="A743" s="81" t="n"/>
      <x:c r="G743" s="82" t="n"/>
    </x:row>
    <x:row r="744" s="116" customFormat="1" ht="15.75" customHeight="1">
      <x:c r="A744" s="81" t="n"/>
      <x:c r="G744" s="82" t="n"/>
    </x:row>
    <x:row r="745" s="116" customFormat="1" ht="15.75" customHeight="1">
      <x:c r="A745" s="81" t="n"/>
      <x:c r="G745" s="82" t="n"/>
    </x:row>
    <x:row r="746" s="116" customFormat="1" ht="15.75" customHeight="1">
      <x:c r="A746" s="81" t="n"/>
      <x:c r="G746" s="82" t="n"/>
    </x:row>
    <x:row r="747" s="116" customFormat="1" ht="15.75" customHeight="1">
      <x:c r="A747" s="81" t="n"/>
      <x:c r="G747" s="82" t="n"/>
    </x:row>
    <x:row r="748" s="116" customFormat="1" ht="15.75" customHeight="1">
      <x:c r="A748" s="81" t="n"/>
      <x:c r="G748" s="82" t="n"/>
    </x:row>
    <x:row r="749" s="116" customFormat="1" ht="15.75" customHeight="1">
      <x:c r="A749" s="81" t="n"/>
      <x:c r="G749" s="82" t="n"/>
    </x:row>
    <x:row r="750" s="116" customFormat="1" ht="15.75" customHeight="1">
      <x:c r="A750" s="81" t="n"/>
      <x:c r="G750" s="82" t="n"/>
    </x:row>
    <x:row r="751" s="116" customFormat="1" ht="15.75" customHeight="1">
      <x:c r="A751" s="81" t="n"/>
      <x:c r="G751" s="82" t="n"/>
    </x:row>
    <x:row r="752" s="116" customFormat="1" ht="15.75" customHeight="1">
      <x:c r="A752" s="81" t="n"/>
      <x:c r="G752" s="82" t="n"/>
    </x:row>
    <x:row r="753" s="116" customFormat="1" ht="15.75" customHeight="1">
      <x:c r="A753" s="81" t="n"/>
      <x:c r="G753" s="82" t="n"/>
    </x:row>
    <x:row r="754" s="116" customFormat="1" ht="15.75" customHeight="1">
      <x:c r="A754" s="81" t="n"/>
      <x:c r="G754" s="82" t="n"/>
    </x:row>
    <x:row r="755" s="116" customFormat="1" ht="15.75" customHeight="1">
      <x:c r="A755" s="81" t="n"/>
      <x:c r="G755" s="82" t="n"/>
    </x:row>
    <x:row r="756" s="116" customFormat="1" ht="15.75" customHeight="1">
      <x:c r="A756" s="81" t="n"/>
      <x:c r="G756" s="82" t="n"/>
    </x:row>
    <x:row r="757" s="116" customFormat="1" ht="15.75" customHeight="1">
      <x:c r="A757" s="81" t="n"/>
      <x:c r="G757" s="82" t="n"/>
    </x:row>
    <x:row r="758" s="116" customFormat="1" ht="15.75" customHeight="1">
      <x:c r="A758" s="81" t="n"/>
      <x:c r="G758" s="82" t="n"/>
    </x:row>
    <x:row r="759" s="116" customFormat="1" ht="15.75" customHeight="1">
      <x:c r="A759" s="81" t="n"/>
      <x:c r="G759" s="82" t="n"/>
    </x:row>
    <x:row r="760" s="116" customFormat="1" ht="15.75" customHeight="1">
      <x:c r="A760" s="81" t="n"/>
      <x:c r="G760" s="82" t="n"/>
    </x:row>
    <x:row r="761" s="116" customFormat="1" ht="15.75" customHeight="1">
      <x:c r="A761" s="81" t="n"/>
      <x:c r="G761" s="82" t="n"/>
    </x:row>
    <x:row r="762" s="116" customFormat="1" ht="15.75" customHeight="1">
      <x:c r="A762" s="81" t="n"/>
      <x:c r="G762" s="82" t="n"/>
    </x:row>
    <x:row r="763" s="116" customFormat="1" ht="15.75" customHeight="1">
      <x:c r="A763" s="81" t="n"/>
      <x:c r="G763" s="82" t="n"/>
    </x:row>
    <x:row r="764" s="116" customFormat="1" ht="15.75" customHeight="1">
      <x:c r="A764" s="81" t="n"/>
      <x:c r="G764" s="82" t="n"/>
    </x:row>
    <x:row r="765" s="116" customFormat="1" ht="15.75" customHeight="1">
      <x:c r="A765" s="81" t="n"/>
      <x:c r="G765" s="82" t="n"/>
    </x:row>
    <x:row r="766" s="116" customFormat="1" ht="15.75" customHeight="1">
      <x:c r="A766" s="81" t="n"/>
      <x:c r="G766" s="82" t="n"/>
    </x:row>
    <x:row r="767" s="116" customFormat="1" ht="15.75" customHeight="1">
      <x:c r="A767" s="81" t="n"/>
      <x:c r="G767" s="82" t="n"/>
    </x:row>
    <x:row r="768" s="116" customFormat="1" ht="15.75" customHeight="1">
      <x:c r="A768" s="81" t="n"/>
      <x:c r="G768" s="82" t="n"/>
    </x:row>
    <x:row r="769" s="116" customFormat="1" ht="15.75" customHeight="1">
      <x:c r="A769" s="81" t="n"/>
      <x:c r="G769" s="82" t="n"/>
    </x:row>
    <x:row r="770" s="116" customFormat="1" ht="15.75" customHeight="1">
      <x:c r="A770" s="81" t="n"/>
      <x:c r="G770" s="82" t="n"/>
    </x:row>
    <x:row r="771" s="116" customFormat="1" ht="15.75" customHeight="1">
      <x:c r="A771" s="81" t="n"/>
      <x:c r="G771" s="82" t="n"/>
    </x:row>
    <x:row r="772" s="116" customFormat="1" ht="15.75" customHeight="1">
      <x:c r="A772" s="81" t="n"/>
      <x:c r="G772" s="82" t="n"/>
    </x:row>
    <x:row r="773" s="116" customFormat="1" ht="15.75" customHeight="1">
      <x:c r="A773" s="81" t="n"/>
      <x:c r="G773" s="82" t="n"/>
    </x:row>
    <x:row r="774" s="116" customFormat="1" ht="15.75" customHeight="1">
      <x:c r="A774" s="81" t="n"/>
      <x:c r="G774" s="82" t="n"/>
    </x:row>
    <x:row r="775" s="116" customFormat="1" ht="15.75" customHeight="1">
      <x:c r="A775" s="81" t="n"/>
      <x:c r="G775" s="82" t="n"/>
    </x:row>
    <x:row r="776" s="116" customFormat="1" ht="15.75" customHeight="1">
      <x:c r="A776" s="81" t="n"/>
      <x:c r="G776" s="82" t="n"/>
    </x:row>
    <x:row r="777" s="116" customFormat="1" ht="15.75" customHeight="1">
      <x:c r="A777" s="81" t="n"/>
      <x:c r="G777" s="82" t="n"/>
    </x:row>
    <x:row r="778" s="116" customFormat="1" ht="15.75" customHeight="1">
      <x:c r="A778" s="81" t="n"/>
      <x:c r="G778" s="82" t="n"/>
    </x:row>
    <x:row r="779" s="116" customFormat="1" ht="15.75" customHeight="1">
      <x:c r="A779" s="81" t="n"/>
      <x:c r="G779" s="82" t="n"/>
    </x:row>
    <x:row r="780" s="116" customFormat="1" ht="15.75" customHeight="1">
      <x:c r="A780" s="81" t="n"/>
      <x:c r="G780" s="82" t="n"/>
    </x:row>
    <x:row r="781" s="116" customFormat="1" ht="15.75" customHeight="1">
      <x:c r="A781" s="81" t="n"/>
      <x:c r="G781" s="82" t="n"/>
    </x:row>
    <x:row r="782" s="116" customFormat="1" ht="15.75" customHeight="1">
      <x:c r="A782" s="81" t="n"/>
      <x:c r="G782" s="82" t="n"/>
    </x:row>
    <x:row r="783" s="116" customFormat="1" ht="15.75" customHeight="1">
      <x:c r="A783" s="81" t="n"/>
      <x:c r="G783" s="82" t="n"/>
    </x:row>
    <x:row r="784" s="116" customFormat="1" ht="15.75" customHeight="1">
      <x:c r="A784" s="81" t="n"/>
      <x:c r="G784" s="82" t="n"/>
    </x:row>
    <x:row r="785" s="116" customFormat="1" ht="15.75" customHeight="1">
      <x:c r="A785" s="81" t="n"/>
      <x:c r="G785" s="82" t="n"/>
    </x:row>
    <x:row r="786" s="116" customFormat="1" ht="15.75" customHeight="1">
      <x:c r="A786" s="81" t="n"/>
      <x:c r="G786" s="82" t="n"/>
    </x:row>
    <x:row r="787" s="116" customFormat="1" ht="15.75" customHeight="1">
      <x:c r="A787" s="81" t="n"/>
      <x:c r="G787" s="82" t="n"/>
    </x:row>
    <x:row r="788" s="116" customFormat="1" ht="15.75" customHeight="1">
      <x:c r="A788" s="81" t="n"/>
      <x:c r="G788" s="82" t="n"/>
    </x:row>
    <x:row r="789" s="116" customFormat="1" ht="15.75" customHeight="1">
      <x:c r="A789" s="81" t="n"/>
      <x:c r="G789" s="82" t="n"/>
    </x:row>
    <x:row r="790" s="116" customFormat="1" ht="15.75" customHeight="1">
      <x:c r="A790" s="81" t="n"/>
      <x:c r="G790" s="82" t="n"/>
    </x:row>
    <x:row r="791" s="116" customFormat="1" ht="15.75" customHeight="1">
      <x:c r="A791" s="81" t="n"/>
      <x:c r="G791" s="82" t="n"/>
    </x:row>
    <x:row r="792" s="116" customFormat="1" ht="15.75" customHeight="1">
      <x:c r="A792" s="81" t="n"/>
      <x:c r="G792" s="82" t="n"/>
    </x:row>
    <x:row r="793" s="116" customFormat="1" ht="15.75" customHeight="1">
      <x:c r="A793" s="81" t="n"/>
      <x:c r="G793" s="82" t="n"/>
    </x:row>
    <x:row r="794" s="116" customFormat="1" ht="15.75" customHeight="1">
      <x:c r="A794" s="81" t="n"/>
      <x:c r="G794" s="82" t="n"/>
    </x:row>
    <x:row r="795" s="116" customFormat="1" ht="15.75" customHeight="1">
      <x:c r="A795" s="81" t="n"/>
      <x:c r="G795" s="82" t="n"/>
    </x:row>
    <x:row r="796" s="116" customFormat="1" ht="15.75" customHeight="1">
      <x:c r="A796" s="81" t="n"/>
      <x:c r="G796" s="82" t="n"/>
    </x:row>
    <x:row r="797" s="116" customFormat="1" ht="15.75" customHeight="1">
      <x:c r="A797" s="81" t="n"/>
      <x:c r="G797" s="82" t="n"/>
    </x:row>
    <x:row r="798" s="116" customFormat="1" ht="15.75" customHeight="1">
      <x:c r="A798" s="81" t="n"/>
      <x:c r="G798" s="82" t="n"/>
    </x:row>
    <x:row r="799" s="116" customFormat="1" ht="15.75" customHeight="1">
      <x:c r="A799" s="81" t="n"/>
      <x:c r="G799" s="82" t="n"/>
    </x:row>
    <x:row r="800" s="116" customFormat="1" ht="15.75" customHeight="1">
      <x:c r="A800" s="81" t="n"/>
      <x:c r="G800" s="82" t="n"/>
    </x:row>
    <x:row r="801" s="116" customFormat="1" ht="15.75" customHeight="1">
      <x:c r="A801" s="81" t="n"/>
      <x:c r="G801" s="82" t="n"/>
    </x:row>
    <x:row r="802" s="116" customFormat="1" ht="15.75" customHeight="1">
      <x:c r="A802" s="81" t="n"/>
      <x:c r="G802" s="82" t="n"/>
    </x:row>
    <x:row r="803" s="116" customFormat="1" ht="15.75" customHeight="1">
      <x:c r="A803" s="81" t="n"/>
      <x:c r="G803" s="82" t="n"/>
    </x:row>
    <x:row r="804" s="116" customFormat="1" ht="15.75" customHeight="1">
      <x:c r="A804" s="81" t="n"/>
      <x:c r="G804" s="82" t="n"/>
    </x:row>
    <x:row r="805" s="116" customFormat="1" ht="15.75" customHeight="1">
      <x:c r="A805" s="81" t="n"/>
      <x:c r="G805" s="82" t="n"/>
    </x:row>
    <x:row r="806" s="116" customFormat="1" ht="15.75" customHeight="1">
      <x:c r="A806" s="81" t="n"/>
      <x:c r="G806" s="82" t="n"/>
    </x:row>
    <x:row r="807" s="116" customFormat="1" ht="15.75" customHeight="1">
      <x:c r="A807" s="81" t="n"/>
      <x:c r="G807" s="82" t="n"/>
    </x:row>
    <x:row r="808" s="116" customFormat="1" ht="15.75" customHeight="1">
      <x:c r="A808" s="81" t="n"/>
      <x:c r="G808" s="82" t="n"/>
    </x:row>
    <x:row r="809" s="116" customFormat="1" ht="15.75" customHeight="1">
      <x:c r="A809" s="81" t="n"/>
      <x:c r="G809" s="82" t="n"/>
    </x:row>
    <x:row r="810" s="116" customFormat="1" ht="15.75" customHeight="1">
      <x:c r="A810" s="81" t="n"/>
      <x:c r="G810" s="82" t="n"/>
    </x:row>
    <x:row r="811" s="116" customFormat="1" ht="15.75" customHeight="1">
      <x:c r="A811" s="81" t="n"/>
      <x:c r="G811" s="82" t="n"/>
    </x:row>
    <x:row r="812" s="116" customFormat="1" ht="15.75" customHeight="1">
      <x:c r="A812" s="81" t="n"/>
      <x:c r="G812" s="82" t="n"/>
    </x:row>
    <x:row r="813" s="116" customFormat="1" ht="15.75" customHeight="1">
      <x:c r="A813" s="81" t="n"/>
      <x:c r="G813" s="82" t="n"/>
    </x:row>
    <x:row r="814" s="116" customFormat="1" ht="15.75" customHeight="1">
      <x:c r="A814" s="81" t="n"/>
      <x:c r="G814" s="82" t="n"/>
    </x:row>
    <x:row r="815" s="116" customFormat="1" ht="15.75" customHeight="1">
      <x:c r="A815" s="81" t="n"/>
      <x:c r="G815" s="82" t="n"/>
    </x:row>
    <x:row r="816" s="116" customFormat="1" ht="15.75" customHeight="1">
      <x:c r="A816" s="81" t="n"/>
      <x:c r="G816" s="82" t="n"/>
    </x:row>
    <x:row r="817" s="116" customFormat="1" ht="15.75" customHeight="1">
      <x:c r="A817" s="81" t="n"/>
      <x:c r="G817" s="82" t="n"/>
    </x:row>
    <x:row r="818" s="116" customFormat="1" ht="15.75" customHeight="1">
      <x:c r="A818" s="81" t="n"/>
      <x:c r="G818" s="82" t="n"/>
    </x:row>
    <x:row r="819" s="116" customFormat="1" ht="15.75" customHeight="1">
      <x:c r="A819" s="81" t="n"/>
      <x:c r="G819" s="82" t="n"/>
    </x:row>
    <x:row r="820" s="116" customFormat="1" ht="15.75" customHeight="1">
      <x:c r="A820" s="81" t="n"/>
      <x:c r="G820" s="82" t="n"/>
    </x:row>
    <x:row r="821" s="116" customFormat="1" ht="15.75" customHeight="1">
      <x:c r="A821" s="81" t="n"/>
      <x:c r="G821" s="82" t="n"/>
    </x:row>
    <x:row r="822" s="116" customFormat="1" ht="15.75" customHeight="1">
      <x:c r="A822" s="81" t="n"/>
      <x:c r="G822" s="82" t="n"/>
    </x:row>
    <x:row r="823" s="116" customFormat="1" ht="15.75" customHeight="1">
      <x:c r="A823" s="81" t="n"/>
      <x:c r="G823" s="82" t="n"/>
    </x:row>
    <x:row r="824" s="116" customFormat="1" ht="15.75" customHeight="1">
      <x:c r="A824" s="81" t="n"/>
      <x:c r="G824" s="82" t="n"/>
    </x:row>
    <x:row r="825" s="116" customFormat="1" ht="15.75" customHeight="1">
      <x:c r="A825" s="81" t="n"/>
      <x:c r="G825" s="82" t="n"/>
    </x:row>
    <x:row r="826" s="116" customFormat="1" ht="15.75" customHeight="1">
      <x:c r="A826" s="81" t="n"/>
      <x:c r="G826" s="82" t="n"/>
    </x:row>
    <x:row r="827" s="116" customFormat="1" ht="15.75" customHeight="1">
      <x:c r="A827" s="81" t="n"/>
      <x:c r="G827" s="82" t="n"/>
    </x:row>
    <x:row r="828" s="116" customFormat="1" ht="15.75" customHeight="1">
      <x:c r="A828" s="81" t="n"/>
      <x:c r="G828" s="82" t="n"/>
    </x:row>
    <x:row r="829" s="116" customFormat="1" ht="15.75" customHeight="1">
      <x:c r="A829" s="81" t="n"/>
      <x:c r="G829" s="82" t="n"/>
    </x:row>
    <x:row r="830" s="116" customFormat="1" ht="15.75" customHeight="1">
      <x:c r="A830" s="81" t="n"/>
      <x:c r="G830" s="82" t="n"/>
    </x:row>
    <x:row r="831" s="116" customFormat="1" ht="15.75" customHeight="1">
      <x:c r="A831" s="81" t="n"/>
      <x:c r="G831" s="82" t="n"/>
    </x:row>
    <x:row r="832" s="116" customFormat="1" ht="15.75" customHeight="1">
      <x:c r="A832" s="81" t="n"/>
      <x:c r="G832" s="82" t="n"/>
    </x:row>
    <x:row r="833" s="116" customFormat="1" ht="15.75" customHeight="1">
      <x:c r="A833" s="81" t="n"/>
      <x:c r="G833" s="82" t="n"/>
    </x:row>
    <x:row r="834" s="116" customFormat="1" ht="15.75" customHeight="1">
      <x:c r="A834" s="81" t="n"/>
      <x:c r="G834" s="82" t="n"/>
    </x:row>
    <x:row r="835" s="116" customFormat="1" ht="15.75" customHeight="1">
      <x:c r="A835" s="81" t="n"/>
      <x:c r="G835" s="82" t="n"/>
    </x:row>
    <x:row r="836" s="116" customFormat="1" ht="15.75" customHeight="1">
      <x:c r="A836" s="81" t="n"/>
      <x:c r="G836" s="82" t="n"/>
    </x:row>
    <x:row r="837" s="116" customFormat="1" ht="15.75" customHeight="1">
      <x:c r="A837" s="81" t="n"/>
      <x:c r="G837" s="82" t="n"/>
    </x:row>
    <x:row r="838" s="116" customFormat="1" ht="15.75" customHeight="1">
      <x:c r="A838" s="81" t="n"/>
      <x:c r="G838" s="82" t="n"/>
    </x:row>
    <x:row r="839" s="116" customFormat="1" ht="15.75" customHeight="1">
      <x:c r="A839" s="81" t="n"/>
      <x:c r="G839" s="82" t="n"/>
    </x:row>
    <x:row r="840" s="116" customFormat="1" ht="15.75" customHeight="1">
      <x:c r="A840" s="81" t="n"/>
      <x:c r="G840" s="82" t="n"/>
    </x:row>
    <x:row r="841" s="116" customFormat="1" ht="15.75" customHeight="1">
      <x:c r="A841" s="81" t="n"/>
      <x:c r="G841" s="82" t="n"/>
    </x:row>
    <x:row r="842" s="116" customFormat="1" ht="15.75" customHeight="1">
      <x:c r="A842" s="81" t="n"/>
      <x:c r="G842" s="82" t="n"/>
    </x:row>
    <x:row r="843" s="116" customFormat="1" ht="15.75" customHeight="1">
      <x:c r="A843" s="81" t="n"/>
      <x:c r="G843" s="82" t="n"/>
    </x:row>
    <x:row r="844" s="116" customFormat="1" ht="15.75" customHeight="1">
      <x:c r="A844" s="81" t="n"/>
      <x:c r="G844" s="82" t="n"/>
    </x:row>
    <x:row r="845" s="116" customFormat="1" ht="15.75" customHeight="1">
      <x:c r="A845" s="81" t="n"/>
      <x:c r="G845" s="82" t="n"/>
    </x:row>
    <x:row r="846" s="116" customFormat="1" ht="15.75" customHeight="1">
      <x:c r="A846" s="81" t="n"/>
      <x:c r="G846" s="82" t="n"/>
    </x:row>
    <x:row r="847" s="116" customFormat="1" ht="15.75" customHeight="1">
      <x:c r="A847" s="81" t="n"/>
      <x:c r="G847" s="82" t="n"/>
    </x:row>
    <x:row r="848" s="116" customFormat="1" ht="15.75" customHeight="1">
      <x:c r="A848" s="81" t="n"/>
      <x:c r="G848" s="82" t="n"/>
    </x:row>
    <x:row r="849" s="116" customFormat="1" ht="15.75" customHeight="1">
      <x:c r="A849" s="81" t="n"/>
      <x:c r="G849" s="82" t="n"/>
    </x:row>
    <x:row r="850" s="116" customFormat="1" ht="15.75" customHeight="1">
      <x:c r="A850" s="81" t="n"/>
      <x:c r="G850" s="82" t="n"/>
    </x:row>
    <x:row r="851" s="116" customFormat="1" ht="15.75" customHeight="1">
      <x:c r="A851" s="81" t="n"/>
      <x:c r="G851" s="82" t="n"/>
    </x:row>
    <x:row r="852" s="116" customFormat="1" ht="15.75" customHeight="1">
      <x:c r="A852" s="81" t="n"/>
      <x:c r="G852" s="82" t="n"/>
    </x:row>
    <x:row r="853" s="116" customFormat="1" ht="15.75" customHeight="1">
      <x:c r="A853" s="81" t="n"/>
      <x:c r="G853" s="82" t="n"/>
    </x:row>
    <x:row r="854" s="116" customFormat="1" ht="15.75" customHeight="1">
      <x:c r="A854" s="81" t="n"/>
      <x:c r="G854" s="82" t="n"/>
    </x:row>
    <x:row r="855" s="116" customFormat="1" ht="15.75" customHeight="1">
      <x:c r="A855" s="81" t="n"/>
      <x:c r="G855" s="82" t="n"/>
    </x:row>
    <x:row r="856" s="116" customFormat="1" ht="15.75" customHeight="1">
      <x:c r="A856" s="81" t="n"/>
      <x:c r="G856" s="82" t="n"/>
    </x:row>
    <x:row r="857" s="116" customFormat="1" ht="15.75" customHeight="1">
      <x:c r="A857" s="81" t="n"/>
      <x:c r="G857" s="82" t="n"/>
    </x:row>
    <x:row r="858" s="116" customFormat="1" ht="15.75" customHeight="1">
      <x:c r="A858" s="81" t="n"/>
      <x:c r="G858" s="82" t="n"/>
    </x:row>
    <x:row r="859" s="116" customFormat="1" ht="15.75" customHeight="1">
      <x:c r="A859" s="81" t="n"/>
      <x:c r="G859" s="82" t="n"/>
    </x:row>
    <x:row r="860" s="116" customFormat="1" ht="15.75" customHeight="1">
      <x:c r="A860" s="81" t="n"/>
      <x:c r="G860" s="82" t="n"/>
    </x:row>
    <x:row r="861" s="116" customFormat="1" ht="15.75" customHeight="1">
      <x:c r="A861" s="81" t="n"/>
      <x:c r="G861" s="82" t="n"/>
    </x:row>
    <x:row r="862" s="116" customFormat="1" ht="15.75" customHeight="1">
      <x:c r="A862" s="81" t="n"/>
      <x:c r="G862" s="82" t="n"/>
    </x:row>
    <x:row r="863" s="116" customFormat="1" ht="15.75" customHeight="1">
      <x:c r="A863" s="81" t="n"/>
      <x:c r="G863" s="82" t="n"/>
    </x:row>
    <x:row r="864" s="116" customFormat="1" ht="15.75" customHeight="1">
      <x:c r="A864" s="81" t="n"/>
      <x:c r="G864" s="82" t="n"/>
    </x:row>
    <x:row r="865" s="116" customFormat="1" ht="15.75" customHeight="1">
      <x:c r="A865" s="81" t="n"/>
      <x:c r="G865" s="82" t="n"/>
    </x:row>
    <x:row r="866" s="116" customFormat="1" ht="15.75" customHeight="1">
      <x:c r="A866" s="81" t="n"/>
      <x:c r="G866" s="82" t="n"/>
    </x:row>
    <x:row r="867" s="116" customFormat="1" ht="15.75" customHeight="1">
      <x:c r="A867" s="81" t="n"/>
      <x:c r="G867" s="82" t="n"/>
    </x:row>
    <x:row r="868" s="116" customFormat="1" ht="15.75" customHeight="1">
      <x:c r="A868" s="81" t="n"/>
      <x:c r="G868" s="82" t="n"/>
    </x:row>
    <x:row r="869" s="116" customFormat="1" ht="15.75" customHeight="1">
      <x:c r="A869" s="81" t="n"/>
      <x:c r="G869" s="82" t="n"/>
    </x:row>
    <x:row r="870" s="116" customFormat="1" ht="15.75" customHeight="1">
      <x:c r="A870" s="81" t="n"/>
      <x:c r="G870" s="82" t="n"/>
    </x:row>
    <x:row r="871" s="116" customFormat="1" ht="15.75" customHeight="1">
      <x:c r="A871" s="81" t="n"/>
      <x:c r="G871" s="82" t="n"/>
    </x:row>
    <x:row r="872" s="116" customFormat="1" ht="15.75" customHeight="1">
      <x:c r="A872" s="81" t="n"/>
      <x:c r="G872" s="82" t="n"/>
    </x:row>
    <x:row r="873" s="116" customFormat="1" ht="15.75" customHeight="1">
      <x:c r="A873" s="81" t="n"/>
      <x:c r="G873" s="82" t="n"/>
    </x:row>
    <x:row r="874" s="116" customFormat="1" ht="15.75" customHeight="1">
      <x:c r="A874" s="81" t="n"/>
      <x:c r="G874" s="82" t="n"/>
    </x:row>
    <x:row r="875" s="116" customFormat="1" ht="15.75" customHeight="1">
      <x:c r="A875" s="81" t="n"/>
      <x:c r="G875" s="82" t="n"/>
    </x:row>
    <x:row r="876" s="116" customFormat="1" ht="15.75" customHeight="1">
      <x:c r="A876" s="81" t="n"/>
      <x:c r="G876" s="82" t="n"/>
    </x:row>
    <x:row r="877" s="116" customFormat="1" ht="15.75" customHeight="1">
      <x:c r="A877" s="81" t="n"/>
      <x:c r="G877" s="82" t="n"/>
    </x:row>
    <x:row r="878" s="116" customFormat="1" ht="15.75" customHeight="1">
      <x:c r="A878" s="81" t="n"/>
      <x:c r="G878" s="82" t="n"/>
    </x:row>
    <x:row r="879" s="116" customFormat="1" ht="15.75" customHeight="1">
      <x:c r="A879" s="81" t="n"/>
      <x:c r="G879" s="82" t="n"/>
    </x:row>
    <x:row r="880" s="116" customFormat="1" ht="15.75" customHeight="1">
      <x:c r="A880" s="81" t="n"/>
      <x:c r="G880" s="82" t="n"/>
    </x:row>
    <x:row r="881" s="116" customFormat="1" ht="15.75" customHeight="1">
      <x:c r="A881" s="81" t="n"/>
      <x:c r="G881" s="82" t="n"/>
    </x:row>
    <x:row r="882" s="116" customFormat="1" ht="15.75" customHeight="1">
      <x:c r="A882" s="81" t="n"/>
      <x:c r="G882" s="82" t="n"/>
    </x:row>
    <x:row r="883" s="116" customFormat="1" ht="15.75" customHeight="1">
      <x:c r="A883" s="81" t="n"/>
      <x:c r="G883" s="82" t="n"/>
    </x:row>
    <x:row r="884" s="116" customFormat="1" ht="15.75" customHeight="1">
      <x:c r="A884" s="81" t="n"/>
      <x:c r="G884" s="82" t="n"/>
    </x:row>
    <x:row r="885" s="116" customFormat="1" ht="15.75" customHeight="1">
      <x:c r="A885" s="81" t="n"/>
      <x:c r="G885" s="82" t="n"/>
    </x:row>
    <x:row r="886" s="116" customFormat="1" ht="15.75" customHeight="1">
      <x:c r="A886" s="81" t="n"/>
      <x:c r="G886" s="82" t="n"/>
    </x:row>
    <x:row r="887" s="116" customFormat="1" ht="15.75" customHeight="1">
      <x:c r="A887" s="81" t="n"/>
      <x:c r="G887" s="82" t="n"/>
    </x:row>
    <x:row r="888" s="116" customFormat="1" ht="15.75" customHeight="1">
      <x:c r="A888" s="81" t="n"/>
      <x:c r="G888" s="82" t="n"/>
    </x:row>
    <x:row r="889" s="116" customFormat="1" ht="15.75" customHeight="1">
      <x:c r="A889" s="81" t="n"/>
      <x:c r="G889" s="82" t="n"/>
    </x:row>
    <x:row r="890" s="116" customFormat="1" ht="15.75" customHeight="1">
      <x:c r="A890" s="81" t="n"/>
      <x:c r="G890" s="82" t="n"/>
    </x:row>
    <x:row r="891" s="116" customFormat="1" ht="15.75" customHeight="1">
      <x:c r="A891" s="81" t="n"/>
      <x:c r="G891" s="82" t="n"/>
    </x:row>
    <x:row r="892" s="116" customFormat="1" ht="15.75" customHeight="1">
      <x:c r="A892" s="81" t="n"/>
      <x:c r="G892" s="82" t="n"/>
    </x:row>
    <x:row r="893" s="116" customFormat="1" ht="15.75" customHeight="1">
      <x:c r="A893" s="81" t="n"/>
      <x:c r="G893" s="82" t="n"/>
    </x:row>
    <x:row r="894" s="116" customFormat="1" ht="15.75" customHeight="1">
      <x:c r="A894" s="81" t="n"/>
      <x:c r="G894" s="82" t="n"/>
    </x:row>
    <x:row r="895" s="116" customFormat="1" ht="15.75" customHeight="1">
      <x:c r="A895" s="81" t="n"/>
      <x:c r="G895" s="82" t="n"/>
    </x:row>
    <x:row r="896" s="116" customFormat="1" ht="15.75" customHeight="1">
      <x:c r="A896" s="81" t="n"/>
      <x:c r="G896" s="82" t="n"/>
    </x:row>
    <x:row r="897" s="116" customFormat="1" ht="15.75" customHeight="1">
      <x:c r="A897" s="81" t="n"/>
      <x:c r="G897" s="82" t="n"/>
    </x:row>
    <x:row r="898" s="116" customFormat="1" ht="15.75" customHeight="1">
      <x:c r="A898" s="81" t="n"/>
      <x:c r="G898" s="82" t="n"/>
    </x:row>
    <x:row r="899" s="116" customFormat="1" ht="15.75" customHeight="1">
      <x:c r="A899" s="81" t="n"/>
      <x:c r="G899" s="82" t="n"/>
    </x:row>
    <x:row r="900" s="116" customFormat="1" ht="15.75" customHeight="1">
      <x:c r="A900" s="81" t="n"/>
      <x:c r="G900" s="82" t="n"/>
    </x:row>
    <x:row r="901" s="116" customFormat="1" ht="15.75" customHeight="1">
      <x:c r="A901" s="81" t="n"/>
      <x:c r="G901" s="82" t="n"/>
    </x:row>
    <x:row r="902" s="116" customFormat="1" ht="15.75" customHeight="1">
      <x:c r="A902" s="81" t="n"/>
      <x:c r="G902" s="82" t="n"/>
    </x:row>
    <x:row r="903" s="116" customFormat="1" ht="15.75" customHeight="1">
      <x:c r="A903" s="81" t="n"/>
      <x:c r="G903" s="82" t="n"/>
    </x:row>
    <x:row r="904" s="116" customFormat="1" ht="15.75" customHeight="1">
      <x:c r="A904" s="81" t="n"/>
      <x:c r="G904" s="82" t="n"/>
    </x:row>
    <x:row r="905" s="116" customFormat="1" ht="15.75" customHeight="1">
      <x:c r="A905" s="81" t="n"/>
      <x:c r="G905" s="82" t="n"/>
    </x:row>
    <x:row r="906" s="116" customFormat="1" ht="15.75" customHeight="1">
      <x:c r="A906" s="81" t="n"/>
      <x:c r="G906" s="82" t="n"/>
    </x:row>
    <x:row r="907" s="116" customFormat="1" ht="15.75" customHeight="1">
      <x:c r="A907" s="81" t="n"/>
      <x:c r="G907" s="82" t="n"/>
    </x:row>
    <x:row r="908" s="116" customFormat="1" ht="15.75" customHeight="1">
      <x:c r="A908" s="81" t="n"/>
      <x:c r="G908" s="82" t="n"/>
    </x:row>
    <x:row r="909" s="116" customFormat="1" ht="15.75" customHeight="1">
      <x:c r="A909" s="81" t="n"/>
      <x:c r="G909" s="82" t="n"/>
    </x:row>
    <x:row r="910" s="116" customFormat="1" ht="15.75" customHeight="1">
      <x:c r="A910" s="81" t="n"/>
      <x:c r="G910" s="82" t="n"/>
    </x:row>
    <x:row r="911" s="116" customFormat="1" ht="15.75" customHeight="1">
      <x:c r="A911" s="81" t="n"/>
      <x:c r="G911" s="82" t="n"/>
    </x:row>
    <x:row r="912" s="116" customFormat="1" ht="15.75" customHeight="1">
      <x:c r="A912" s="81" t="n"/>
      <x:c r="G912" s="82" t="n"/>
    </x:row>
    <x:row r="913" s="116" customFormat="1" ht="15.75" customHeight="1">
      <x:c r="A913" s="81" t="n"/>
      <x:c r="G913" s="82" t="n"/>
    </x:row>
    <x:row r="914" s="116" customFormat="1" ht="15.75" customHeight="1">
      <x:c r="A914" s="81" t="n"/>
      <x:c r="G914" s="82" t="n"/>
    </x:row>
    <x:row r="915" s="116" customFormat="1" ht="15.75" customHeight="1">
      <x:c r="A915" s="81" t="n"/>
      <x:c r="G915" s="82" t="n"/>
    </x:row>
    <x:row r="916" s="116" customFormat="1" ht="15.75" customHeight="1">
      <x:c r="A916" s="81" t="n"/>
      <x:c r="G916" s="82" t="n"/>
    </x:row>
    <x:row r="917" s="116" customFormat="1" ht="15.75" customHeight="1">
      <x:c r="A917" s="81" t="n"/>
      <x:c r="G917" s="82" t="n"/>
    </x:row>
    <x:row r="918" s="116" customFormat="1" ht="15.75" customHeight="1">
      <x:c r="A918" s="81" t="n"/>
      <x:c r="G918" s="82" t="n"/>
    </x:row>
    <x:row r="919" s="116" customFormat="1" ht="15.75" customHeight="1">
      <x:c r="A919" s="81" t="n"/>
      <x:c r="G919" s="82" t="n"/>
    </x:row>
    <x:row r="920" s="116" customFormat="1" ht="15.75" customHeight="1">
      <x:c r="A920" s="81" t="n"/>
      <x:c r="G920" s="82" t="n"/>
    </x:row>
    <x:row r="921" s="116" customFormat="1" ht="15.75" customHeight="1">
      <x:c r="A921" s="81" t="n"/>
      <x:c r="G921" s="82" t="n"/>
    </x:row>
    <x:row r="922" s="116" customFormat="1" ht="15.75" customHeight="1">
      <x:c r="A922" s="81" t="n"/>
      <x:c r="G922" s="82" t="n"/>
    </x:row>
    <x:row r="923" s="116" customFormat="1" ht="15.75" customHeight="1">
      <x:c r="A923" s="81" t="n"/>
      <x:c r="G923" s="82" t="n"/>
    </x:row>
    <x:row r="924" s="116" customFormat="1" ht="15.75" customHeight="1">
      <x:c r="A924" s="81" t="n"/>
      <x:c r="G924" s="82" t="n"/>
    </x:row>
    <x:row r="925" s="116" customFormat="1" ht="15.75" customHeight="1">
      <x:c r="A925" s="81" t="n"/>
      <x:c r="G925" s="82" t="n"/>
    </x:row>
    <x:row r="926" s="116" customFormat="1" ht="15.75" customHeight="1">
      <x:c r="A926" s="81" t="n"/>
      <x:c r="G926" s="82" t="n"/>
    </x:row>
    <x:row r="927" s="116" customFormat="1" ht="15.75" customHeight="1">
      <x:c r="A927" s="81" t="n"/>
      <x:c r="G927" s="82" t="n"/>
    </x:row>
    <x:row r="928" s="116" customFormat="1" ht="15.75" customHeight="1">
      <x:c r="A928" s="81" t="n"/>
      <x:c r="G928" s="82" t="n"/>
    </x:row>
    <x:row r="929" s="116" customFormat="1" ht="15.75" customHeight="1">
      <x:c r="A929" s="81" t="n"/>
      <x:c r="G929" s="82" t="n"/>
    </x:row>
    <x:row r="930" s="116" customFormat="1" ht="15.75" customHeight="1">
      <x:c r="A930" s="81" t="n"/>
      <x:c r="G930" s="82" t="n"/>
    </x:row>
    <x:row r="931" s="116" customFormat="1" ht="15.75" customHeight="1">
      <x:c r="A931" s="81" t="n"/>
      <x:c r="G931" s="82" t="n"/>
    </x:row>
    <x:row r="932" s="116" customFormat="1" ht="15.75" customHeight="1">
      <x:c r="A932" s="81" t="n"/>
      <x:c r="G932" s="82" t="n"/>
    </x:row>
    <x:row r="933" s="116" customFormat="1" ht="15.75" customHeight="1">
      <x:c r="A933" s="81" t="n"/>
      <x:c r="G933" s="82" t="n"/>
    </x:row>
    <x:row r="934" s="116" customFormat="1" ht="15.75" customHeight="1">
      <x:c r="A934" s="81" t="n"/>
      <x:c r="G934" s="82" t="n"/>
    </x:row>
    <x:row r="935" s="116" customFormat="1" ht="15.75" customHeight="1">
      <x:c r="A935" s="81" t="n"/>
      <x:c r="G935" s="82" t="n"/>
    </x:row>
    <x:row r="936" s="116" customFormat="1" ht="15.75" customHeight="1">
      <x:c r="A936" s="81" t="n"/>
      <x:c r="G936" s="82" t="n"/>
    </x:row>
    <x:row r="937" s="116" customFormat="1" ht="15.75" customHeight="1">
      <x:c r="A937" s="81" t="n"/>
      <x:c r="G937" s="82" t="n"/>
    </x:row>
    <x:row r="938" s="116" customFormat="1" ht="15.75" customHeight="1">
      <x:c r="A938" s="81" t="n"/>
      <x:c r="G938" s="82" t="n"/>
    </x:row>
    <x:row r="939" s="116" customFormat="1" ht="15.75" customHeight="1">
      <x:c r="A939" s="81" t="n"/>
      <x:c r="G939" s="82" t="n"/>
    </x:row>
    <x:row r="940" s="116" customFormat="1" ht="15.75" customHeight="1">
      <x:c r="A940" s="81" t="n"/>
      <x:c r="G940" s="82" t="n"/>
    </x:row>
    <x:row r="941" s="116" customFormat="1" ht="15.75" customHeight="1">
      <x:c r="A941" s="81" t="n"/>
      <x:c r="G941" s="82" t="n"/>
    </x:row>
    <x:row r="942" s="116" customFormat="1" ht="15.75" customHeight="1">
      <x:c r="A942" s="81" t="n"/>
      <x:c r="G942" s="82" t="n"/>
    </x:row>
    <x:row r="943" s="116" customFormat="1" ht="15.75" customHeight="1">
      <x:c r="A943" s="81" t="n"/>
      <x:c r="G943" s="82" t="n"/>
    </x:row>
    <x:row r="944" s="116" customFormat="1" ht="15.75" customHeight="1">
      <x:c r="A944" s="81" t="n"/>
      <x:c r="G944" s="82" t="n"/>
    </x:row>
    <x:row r="945" s="116" customFormat="1" ht="15.75" customHeight="1">
      <x:c r="A945" s="81" t="n"/>
      <x:c r="G945" s="82" t="n"/>
    </x:row>
    <x:row r="946" s="116" customFormat="1" ht="15.75" customHeight="1">
      <x:c r="A946" s="81" t="n"/>
      <x:c r="G946" s="82" t="n"/>
    </x:row>
    <x:row r="947" s="116" customFormat="1" ht="15.75" customHeight="1">
      <x:c r="A947" s="81" t="n"/>
      <x:c r="G947" s="82" t="n"/>
    </x:row>
    <x:row r="948" s="116" customFormat="1" ht="15.75" customHeight="1">
      <x:c r="A948" s="81" t="n"/>
      <x:c r="G948" s="82" t="n"/>
    </x:row>
    <x:row r="949" s="116" customFormat="1" ht="15.75" customHeight="1">
      <x:c r="A949" s="81" t="n"/>
      <x:c r="G949" s="82" t="n"/>
    </x:row>
    <x:row r="950" s="116" customFormat="1" ht="15.75" customHeight="1">
      <x:c r="A950" s="81" t="n"/>
      <x:c r="G950" s="82" t="n"/>
    </x:row>
    <x:row r="951" s="116" customFormat="1" ht="15.75" customHeight="1">
      <x:c r="A951" s="81" t="n"/>
      <x:c r="G951" s="82" t="n"/>
    </x:row>
    <x:row r="952" s="116" customFormat="1" ht="15.75" customHeight="1">
      <x:c r="A952" s="81" t="n"/>
      <x:c r="G952" s="82" t="n"/>
    </x:row>
    <x:row r="953" s="116" customFormat="1" ht="15.75" customHeight="1">
      <x:c r="A953" s="81" t="n"/>
      <x:c r="G953" s="82" t="n"/>
    </x:row>
    <x:row r="954" s="116" customFormat="1" ht="15.75" customHeight="1">
      <x:c r="A954" s="81" t="n"/>
      <x:c r="G954" s="82" t="n"/>
    </x:row>
    <x:row r="955" s="116" customFormat="1" ht="15.75" customHeight="1">
      <x:c r="A955" s="81" t="n"/>
      <x:c r="G955" s="82" t="n"/>
    </x:row>
    <x:row r="956" s="116" customFormat="1" ht="15.75" customHeight="1">
      <x:c r="A956" s="81" t="n"/>
      <x:c r="G956" s="82" t="n"/>
    </x:row>
    <x:row r="957" s="116" customFormat="1" ht="15.75" customHeight="1">
      <x:c r="A957" s="81" t="n"/>
      <x:c r="G957" s="82" t="n"/>
    </x:row>
    <x:row r="958" s="116" customFormat="1" ht="15.75" customHeight="1">
      <x:c r="A958" s="81" t="n"/>
      <x:c r="G958" s="82" t="n"/>
    </x:row>
    <x:row r="959" s="116" customFormat="1" ht="15.75" customHeight="1">
      <x:c r="A959" s="81" t="n"/>
      <x:c r="G959" s="82" t="n"/>
    </x:row>
    <x:row r="960" s="116" customFormat="1" ht="15.75" customHeight="1">
      <x:c r="A960" s="81" t="n"/>
      <x:c r="G960" s="82" t="n"/>
    </x:row>
    <x:row r="961" s="116" customFormat="1" ht="15.75" customHeight="1">
      <x:c r="A961" s="81" t="n"/>
      <x:c r="G961" s="82" t="n"/>
    </x:row>
    <x:row r="962" s="116" customFormat="1" ht="15.75" customHeight="1">
      <x:c r="A962" s="81" t="n"/>
      <x:c r="G962" s="82" t="n"/>
    </x:row>
    <x:row r="963" s="116" customFormat="1" ht="15.75" customHeight="1">
      <x:c r="A963" s="81" t="n"/>
      <x:c r="G963" s="82" t="n"/>
    </x:row>
    <x:row r="964" s="116" customFormat="1" ht="15.75" customHeight="1">
      <x:c r="A964" s="81" t="n"/>
      <x:c r="G964" s="82" t="n"/>
    </x:row>
    <x:row r="965" s="116" customFormat="1" ht="15.75" customHeight="1">
      <x:c r="A965" s="81" t="n"/>
      <x:c r="G965" s="82" t="n"/>
    </x:row>
    <x:row r="966" s="116" customFormat="1" ht="15.75" customHeight="1">
      <x:c r="A966" s="81" t="n"/>
      <x:c r="G966" s="82" t="n"/>
    </x:row>
    <x:row r="967" s="116" customFormat="1" ht="15.75" customHeight="1">
      <x:c r="A967" s="81" t="n"/>
      <x:c r="G967" s="82" t="n"/>
    </x:row>
    <x:row r="968" s="116" customFormat="1" ht="15.75" customHeight="1">
      <x:c r="A968" s="81" t="n"/>
      <x:c r="G968" s="82" t="n"/>
    </x:row>
    <x:row r="969" s="116" customFormat="1" ht="15.75" customHeight="1">
      <x:c r="A969" s="81" t="n"/>
      <x:c r="G969" s="82" t="n"/>
    </x:row>
    <x:row r="970" s="116" customFormat="1" ht="15.75" customHeight="1">
      <x:c r="A970" s="81" t="n"/>
      <x:c r="G970" s="82" t="n"/>
    </x:row>
    <x:row r="971" s="116" customFormat="1" ht="15.75" customHeight="1">
      <x:c r="A971" s="81" t="n"/>
      <x:c r="G971" s="82" t="n"/>
    </x:row>
    <x:row r="972" s="116" customFormat="1" ht="15.75" customHeight="1">
      <x:c r="A972" s="81" t="n"/>
      <x:c r="G972" s="82" t="n"/>
    </x:row>
    <x:row r="973" s="116" customFormat="1" ht="15.75" customHeight="1">
      <x:c r="A973" s="81" t="n"/>
      <x:c r="G973" s="82" t="n"/>
    </x:row>
    <x:row r="974" s="116" customFormat="1" ht="15.75" customHeight="1">
      <x:c r="A974" s="81" t="n"/>
      <x:c r="G974" s="82" t="n"/>
    </x:row>
    <x:row r="975" s="116" customFormat="1" ht="15.75" customHeight="1">
      <x:c r="A975" s="81" t="n"/>
      <x:c r="G975" s="82" t="n"/>
    </x:row>
    <x:row r="976" s="116" customFormat="1" ht="15.75" customHeight="1">
      <x:c r="A976" s="81" t="n"/>
      <x:c r="G976" s="82" t="n"/>
    </x:row>
    <x:row r="977" s="116" customFormat="1" ht="15.75" customHeight="1">
      <x:c r="A977" s="81" t="n"/>
      <x:c r="G977" s="82" t="n"/>
    </x:row>
    <x:row r="978" s="116" customFormat="1" ht="15.75" customHeight="1">
      <x:c r="A978" s="81" t="n"/>
      <x:c r="G978" s="82" t="n"/>
    </x:row>
    <x:row r="979" s="116" customFormat="1" ht="15.75" customHeight="1">
      <x:c r="A979" s="81" t="n"/>
      <x:c r="G979" s="82" t="n"/>
    </x:row>
    <x:row r="980" s="116" customFormat="1" ht="15.75" customHeight="1">
      <x:c r="A980" s="81" t="n"/>
      <x:c r="G980" s="82" t="n"/>
    </x:row>
    <x:row r="981">
      <x:c r="A981" s="81" t="n"/>
      <x:c r="G981" s="82" t="n"/>
    </x:row>
    <x:row r="982">
      <x:c r="A982" s="81" t="n"/>
      <x:c r="G982" s="82" t="n"/>
    </x:row>
    <x:row r="983">
      <x:c r="A983" s="81" t="n"/>
      <x:c r="G983" s="82" t="n"/>
    </x:row>
    <x:row r="984">
      <x:c r="A984" s="81" t="n"/>
      <x:c r="G984" s="82" t="n"/>
    </x:row>
    <x:row r="985">
      <x:c r="A985" s="81" t="n"/>
      <x:c r="G985" s="82" t="n"/>
    </x:row>
    <x:row r="986">
      <x:c r="A986" s="81" t="n"/>
      <x:c r="G986" s="82" t="n"/>
    </x:row>
    <x:row r="987">
      <x:c r="A987" s="81" t="n"/>
      <x:c r="G987" s="82" t="n"/>
    </x:row>
  </x:sheetData>
  <x:conditionalFormatting sqref="G2:G980">
    <x:cfRule type="expression" dxfId="0" priority="1">
      <x:formula>AND($F2="Showed",LEN($G2)=0)</x:formula>
    </x:cfRule>
    <x:cfRule type="expression" dxfId="0" priority="2">
      <x:formula>AND($F2="Showed",LEN($G2)=0)</x:formula>
    </x:cfRule>
    <x:cfRule type="containsBlanks" dxfId="0" priority="3">
      <x:formula>LEN(TRIM(G2))=0</x:formula>
    </x:cfRule>
  </x:conditionalFormatting>
  <x:dataValidations count="6">
    <x:dataValidation type="list" allowBlank="1" showDropDown="0" showInputMessage="0" showErrorMessage="1" sqref="H2:H141">
      <x:formula1>'Data Config'!$B$2:$B980</x:formula1>
    </x:dataValidation>
    <x:dataValidation type="list" allowBlank="1" showDropDown="0" showInputMessage="0" showErrorMessage="1" sqref="G2:G141">
      <x:formula1>"Closed,Follow-up required,No Closed"</x:formula1>
    </x:dataValidation>
    <x:dataValidation type="list" allowBlank="1" showDropDown="0" showInputMessage="0" showErrorMessage="1" sqref="O2:O97">
      <x:formula1>"Max,Davi"</x:formula1>
    </x:dataValidation>
    <x:dataValidation type="list" allowBlank="1" showDropDown="0" showInputMessage="0" showErrorMessage="1" sqref="D2:D141">
      <x:formula1>"Cold SMS,Ads,Organic,Referral"</x:formula1>
    </x:dataValidation>
    <x:dataValidation type="list" allowBlank="1" showDropDown="0" showInputMessage="0" showErrorMessage="1" sqref="E2:E141">
      <x:formula1>"Randy,Ads - No Setter,Max,Daniel,Eddie"</x:formula1>
    </x:dataValidation>
    <x:dataValidation type="list" allowBlank="1" showDropDown="0" showInputMessage="0" showErrorMessage="1" sqref="F2:F141">
      <x:formula1>"Showed,No-Show,Rescheduled,Cancelled/Rejected"</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ColWidth="14.430000305175781" defaultRowHeight="15"/>
  <x:cols>
    <x:col min="1" max="1" width="14.430000305175781" style="116" customWidth="1"/>
    <x:col min="2" max="2" width="7.289999961853027" style="116" customWidth="1"/>
    <x:col min="3" max="5" width="8.710000038146973" style="116" customWidth="1"/>
    <x:col min="6" max="6" width="14.140000343322754" style="116" customWidth="1"/>
    <x:col min="7" max="7" width="16.43000030517578" style="116" customWidth="1"/>
    <x:col min="8" max="8" width="16.56999969482422" style="116" customWidth="1"/>
    <x:col min="9" max="9" width="17.860000610351562" style="116" customWidth="1"/>
    <x:col min="10" max="10" width="14.140000343322754" style="116" hidden="1" customWidth="1"/>
    <x:col min="11" max="23" width="8.710000038146973" style="116" customWidth="1"/>
  </x:cols>
  <x:sheetData>
    <x:row r="1">
      <x:c r="A1" s="118" t="inlineStr">
        <x:is>
          <x:t xml:space="preserve">Analysis By Date</x:t>
        </x:is>
      </x:c>
      <x:c r="B1" s="119" t="n"/>
      <x:c r="C1" s="119" t="n"/>
      <x:c r="D1" s="120" t="n"/>
      <x:c r="J1" s="108" t="inlineStr">
        <x:is>
          <x:t xml:space="preserve">Estimates Sent</x:t>
        </x:is>
      </x:c>
    </x:row>
    <x:row r="2">
      <x:c r="A2" s="121" t="n"/>
      <x:c r="B2" s="122" t="n"/>
      <x:c r="C2" s="122" t="n"/>
      <x:c r="D2" s="123" t="n"/>
      <x:c r="J2" s="90">
        <x:f>COUNTIFS('All Booked Calls Data'!$A:$A,"&gt;="&amp;$A$6,'All Booked Calls Data'!$A:$A,"&lt;"&amp;$C$6+1,'All Booked Calls Data'!$G:$G,"Estimate sent")</x:f>
        <x:v>0</x:v>
      </x:c>
    </x:row>
    <x:row r="3">
      <x:c r="A3" s="132" t="n">
        <x:v>46099</x:v>
      </x:c>
      <x:c r="D3" s="125" t="n"/>
      <x:c r="J3" s="90">
        <x:f>COUNTIFS('All Booked Calls Data'!$A:$A,"&gt;="&amp;$A$6,'All Booked Calls Data'!$A:$A,"&lt;"&amp;$C$6+1,'All Booked Calls Data'!$G:$G,"Estimate sent")</x:f>
        <x:v>0</x:v>
      </x:c>
    </x:row>
    <x:row r="4">
      <x:c r="A4" s="93" t="n"/>
      <x:c r="D4" s="94" t="n"/>
      <x:c r="J4" s="90">
        <x:f>COUNTIFS('All Booked Calls Data'!$A:$A,"&gt;="&amp;$A$6,'All Booked Calls Data'!$A:$A,"&lt;"&amp;$C$6+1,'All Booked Calls Data'!$G:$G,"Estimate sent")</x:f>
        <x:v>0</x:v>
      </x:c>
    </x:row>
    <x:row r="5">
      <x:c r="A5" s="95" t="inlineStr">
        <x:is>
          <x:t xml:space="preserve">StartDate</x:t>
        </x:is>
      </x:c>
      <x:c r="C5" s="126" t="inlineStr">
        <x:is>
          <x:t xml:space="preserve">EndDate</x:t>
        </x:is>
      </x:c>
      <x:c r="D5" s="125" t="n"/>
      <x:c r="J5" s="90">
        <x:f>COUNTIFS('All Booked Calls Data'!$A:$A,"&gt;="&amp;$A$6,'All Booked Calls Data'!$A:$A,"&lt;"&amp;$C$6+1,'All Booked Calls Data'!$G:$G,"Estimate sent")</x:f>
        <x:v>0</x:v>
      </x:c>
    </x:row>
    <x:row r="6">
      <x:c r="A6" s="96" t="n">
        <x:v>46030</x:v>
      </x:c>
      <x:c r="C6" s="127" t="n">
        <x:v>46099</x:v>
      </x:c>
      <x:c r="D6" s="125" t="n"/>
      <x:c r="J6" s="90">
        <x:f>COUNTIFS('All Booked Calls Data'!$A:$A,"&gt;="&amp;$A$6,'All Booked Calls Data'!$A:$A,"&lt;"&amp;$C$6+1,'All Booked Calls Data'!$G:$G,"Estimate sent")</x:f>
        <x:v>0</x:v>
      </x:c>
    </x:row>
    <x:row r="7">
      <x:c r="A7" s="108" t="inlineStr">
        <x:is>
          <x:t xml:space="preserve">Total Booked:</x:t>
        </x:is>
      </x:c>
      <x:c r="B7" s="128" t="n"/>
      <x:c r="C7" s="129">
        <x:f>COUNTIFS(
  'All Booked Calls Data'!A:A, "&gt;="&amp;A6,
  'All Booked Calls Data'!A:A, "&lt;"&amp;C6+1
)
</x:f>
        <x:v>164</x:v>
      </x:c>
      <x:c r="D7" s="128" t="n"/>
      <x:c r="J7" s="90">
        <x:f>COUNTIFS('All Booked Calls Data'!$A:$A,"&gt;="&amp;$A$6,'All Booked Calls Data'!$A:$A,"&lt;"&amp;$C$6+1,'All Booked Calls Data'!$G:$G,"Estimate sent")</x:f>
        <x:v>0</x:v>
      </x:c>
    </x:row>
    <x:row r="8" s="116" customFormat="1" ht="15.75" customHeight="1">
      <x:c r="A8" s="108" t="inlineStr">
        <x:is>
          <x:t xml:space="preserve">Show Rate</x:t>
        </x:is>
      </x:c>
      <x:c r="B8" s="128" t="n"/>
      <x:c r="C8" s="130" t="e">
        <x:f>C9/C7</x:f>
      </x:c>
      <x:c r="D8" s="128" t="n"/>
    </x:row>
    <x:row r="9">
      <x:c r="A9" s="108" t="inlineStr">
        <x:is>
          <x:t xml:space="preserve">Showed</x:t>
        </x:is>
      </x:c>
      <x:c r="B9" s="128" t="n"/>
      <x:c r="C9" s="129" t="e">
        <x:f>COUNTIFS(
  'All Booked Calls Data'!A:A, "&gt;="&amp;A6,
  'All Booked Calls Data'!A:A, "&lt;"&amp;C6+1,
  'All Booked Calls Data'!F:F, "Showed"
)
</x:f>
      </x:c>
      <x:c r="D9" s="128" t="n"/>
      <x:c r="J9" s="90">
        <x:f>COUNTIFS('All Booked Calls Data'!$A:$A,"&gt;="&amp;$A$6,'All Booked Calls Data'!$A:$A,"&lt;"&amp;$C$6+1,'All Booked Calls Data'!$G:$G,"Estimate sent")</x:f>
        <x:v>0</x:v>
      </x:c>
    </x:row>
    <x:row r="10" s="116" customFormat="1" ht="15.75" customHeight="1">
      <x:c r="A10" s="108" t="inlineStr">
        <x:is>
          <x:t xml:space="preserve">Close Rate</x:t>
        </x:is>
      </x:c>
      <x:c r="B10" s="128" t="n"/>
      <x:c r="C10" s="130" t="e">
        <x:f>C11/C9</x:f>
      </x:c>
      <x:c r="D10" s="128" t="n"/>
    </x:row>
    <x:row r="11">
      <x:c r="A11" s="108" t="inlineStr">
        <x:is>
          <x:t xml:space="preserve">Closed</x:t>
        </x:is>
      </x:c>
      <x:c r="B11" s="128" t="n"/>
      <x:c r="C11" s="129">
        <x:f>COUNTIFS(
  'All Booked Calls Data'!A:A, "&gt;="&amp;A6,
  'All Booked Calls Data'!A:A, "&lt;"&amp;C6+1,
  'All Booked Calls Data'!G:G, "Closed"
)
</x:f>
        <x:v>13</x:v>
      </x:c>
      <x:c r="D11" s="128" t="n"/>
      <x:c r="J11" s="90">
        <x:f>COUNTIFS('All Booked Calls Data'!$A:$A,"&gt;="&amp;$A$6,'All Booked Calls Data'!$A:$A,"&lt;"&amp;$C$6+1,'All Booked Calls Data'!$G:$G,"Estimate sent")</x:f>
        <x:v>0</x:v>
      </x:c>
    </x:row>
    <x:row r="12">
      <x:c r="A12" s="108" t="inlineStr">
        <x:is>
          <x:t xml:space="preserve">Cash Collected</x:t>
        </x:is>
      </x:c>
      <x:c r="B12" s="128" t="n"/>
      <x:c r="C12" s="131" t="e">
        <x:f>SUMIFS(
  'All Booked Calls Data'!I:I,
  'All Booked Calls Data'!A:A, "&gt;="&amp;A6,
  'All Booked Calls Data'!A:A, "&lt;"&amp;C6+1
)
</x:f>
      </x:c>
      <x:c r="D12" s="128" t="n"/>
      <x:c r="J12" s="90">
        <x:f>COUNTIFS('All Booked Calls Data'!$A:$A,"&gt;="&amp;$A$6,'All Booked Calls Data'!$A:$A,"&lt;"&amp;$C$6+1,'All Booked Calls Data'!$G:$G,"Estimate sent")</x:f>
        <x:v>0</x:v>
      </x:c>
    </x:row>
    <x:row r="13">
      <x:c r="A13" s="108" t="inlineStr">
        <x:is>
          <x:t xml:space="preserve">Revenue</x:t>
        </x:is>
      </x:c>
      <x:c r="B13" s="128" t="n"/>
      <x:c r="C13" s="129" t="e">
        <x:f>SUMIFS(
  'All Booked Calls Data'!J:J,
  'All Booked Calls Data'!A:A, "&gt;="&amp;A6,
  'All Booked Calls Data'!A:A, "&lt;"&amp;C6+1
)
</x:f>
      </x:c>
      <x:c r="D13" s="128" t="n"/>
      <x:c r="J13" s="104">
        <x:f>COUNTIFS('All Booked Calls Data'!$A:$A,"&gt;="&amp;$A$6,'All Booked Calls Data'!$A:$A,"&lt;"&amp;$C$6+1,'All Booked Calls Data'!$G:$G,"Estimate sent")</x:f>
        <x:v>0</x:v>
      </x:c>
    </x:row>
    <x:row r="14" s="116" customFormat="1" ht="15.75" customHeight="1">
      <x:c r="A14" s="108" t="inlineStr">
        <x:is>
          <x:t xml:space="preserve">Avg Cash per Close</x:t>
        </x:is>
      </x:c>
      <x:c r="B14" s="128" t="n"/>
      <x:c r="C14" s="129" t="e">
        <x:f>C12/C11</x:f>
      </x:c>
      <x:c r="D14" s="128" t="n"/>
      <x:c r="E14" s="67" t="n"/>
      <x:c r="F14" s="67" t="n"/>
      <x:c r="G14" s="105" t="n"/>
      <x:c r="H14" s="105" t="n"/>
      <x:c r="I14" s="67" t="n"/>
      <x:c r="J14" s="67" t="n"/>
      <x:c r="K14" s="67" t="n"/>
      <x:c r="L14" s="67" t="n"/>
      <x:c r="M14" s="67" t="n"/>
      <x:c r="N14" s="67" t="n"/>
      <x:c r="S14" s="67" t="n"/>
      <x:c r="T14" s="67" t="n"/>
      <x:c r="U14" s="67" t="n"/>
      <x:c r="V14" s="67" t="n"/>
      <x:c r="W14" s="67" t="n"/>
    </x:row>
    <x:row r="15" s="116" customFormat="1" ht="15.75" customHeight="1">
      <x:c r="A15" s="108" t="inlineStr">
        <x:is>
          <x:t xml:space="preserve">Avg Rev per Close</x:t>
        </x:is>
      </x:c>
      <x:c r="B15" s="128" t="n"/>
      <x:c r="C15" s="129" t="e">
        <x:f>C13/C11</x:f>
      </x:c>
      <x:c r="D15" s="128" t="n"/>
      <x:c r="G15" s="106" t="n"/>
      <x:c r="H15" s="106" t="n"/>
    </x:row>
    <x:row r="16" s="116" customFormat="1" ht="15.75" customHeight="1">
      <x:c r="G16" s="106" t="n"/>
      <x:c r="H16" s="106" t="n"/>
    </x:row>
    <x:row r="17" s="116" customFormat="1" ht="18" customHeight="1">
      <x:c r="G17" s="106" t="n"/>
      <x:c r="H17" s="106" t="n"/>
    </x:row>
    <x:row r="18" s="116" customFormat="1" ht="15.75" customHeight="1">
      <x:c r="G18" s="106" t="n"/>
      <x:c r="H18" s="106" t="n"/>
    </x:row>
    <x:row r="19" s="116" customFormat="1" ht="15.75" customHeight="1">
      <x:c r="A19" s="107" t="inlineStr">
        <x:is>
          <x:t xml:space="preserve">Month</x:t>
        </x:is>
      </x:c>
      <x:c r="B19" s="108" t="inlineStr">
        <x:is>
          <x:t xml:space="preserve">Total Booked</x:t>
        </x:is>
      </x:c>
      <x:c r="C19" s="108" t="inlineStr">
        <x:is>
          <x:t xml:space="preserve">Shows</x:t>
        </x:is>
      </x:c>
      <x:c r="D19" s="108" t="inlineStr">
        <x:is>
          <x:t xml:space="preserve">No-shows</x:t>
        </x:is>
      </x:c>
      <x:c r="E19" s="108" t="inlineStr">
        <x:is>
          <x:t xml:space="preserve">Closes</x:t>
        </x:is>
      </x:c>
      <x:c r="F19" s="108" t="inlineStr">
        <x:is>
          <x:t xml:space="preserve">Cash Collected</x:t>
        </x:is>
      </x:c>
      <x:c r="G19" s="109" t="inlineStr">
        <x:is>
          <x:t xml:space="preserve">Show Rate</x:t>
        </x:is>
      </x:c>
      <x:c r="H19" s="109" t="inlineStr">
        <x:is>
          <x:t xml:space="preserve">Close Rate</x:t>
        </x:is>
      </x:c>
      <x:c r="I19" s="108" t="inlineStr">
        <x:is>
          <x:t xml:space="preserve">Avg Cash per Close</x:t>
        </x:is>
      </x:c>
    </x:row>
    <x:row r="20" s="116" customFormat="1" ht="15.75" customHeight="1">
      <x:c r="A20" s="110" t="inlineStr">
        <x:is>
          <x:t xml:space="preserve">January</x:t>
        </x:is>
      </x:c>
      <x:c r="B20" s="63">
        <x:f>COUNTIFS(
  'All Booked Calls Data'!$A:$A,"&gt;="&amp;DATE(2026,1,1),
  'All Booked Calls Data'!$A:$A,"&lt;"&amp;DATE(2026,2,1)
)
</x:f>
        <x:v>39</x:v>
      </x:c>
      <x:c r="C20" s="63" t="e">
        <x:f>COUNTIFS(
  'All Booked Calls Data'!$F:$F,"Showed",
  'All Booked Calls Data'!$A:$A,"&gt;="&amp;DATE(2026,1,1),
  'All Booked Calls Data'!$A:$A,"&lt;"&amp;DATE(2026,2,1)
)
</x:f>
      </x:c>
      <x:c r="D20" s="63" t="e">
        <x:f>COUNTIFS(
  'All Booked Calls Data'!$F:$F,"No-Show",
  'All Booked Calls Data'!$A:$A,"&gt;="&amp;DATE(2026,1,1),
  'All Booked Calls Data'!$A:$A,"&lt;"&amp;DATE(2026,2,1)
)
</x:f>
      </x:c>
      <x:c r="E20" s="63">
        <x:f>COUNTIFS(
  'All Booked Calls Data'!$G:$G,"Closed",
  'All Booked Calls Data'!$A:$A,"&gt;="&amp;DATE(2026,1,1),
  'All Booked Calls Data'!$A:$A,"&lt;"&amp;DATE(2026,2,1)
)
</x:f>
        <x:v>2</x:v>
      </x:c>
      <x:c r="F20" s="63" t="e">
        <x:f>SUMIFS(
  'All Booked Calls Data'!$I:$I,
  'All Booked Calls Data'!$A:$A,"&gt;="&amp;DATE(2026,1,1),
  'All Booked Calls Data'!$A:$A,"&lt;"&amp;DATE(2026,2,1)
)
</x:f>
      </x:c>
      <x:c r="G20" s="111" t="e">
        <x:f>IF(B20=0,0,C20/B20)</x:f>
      </x:c>
      <x:c r="H20" s="111" t="e">
        <x:f>IF(C20=0, 0,E20  / C20)
</x:f>
      </x:c>
      <x:c r="I20" s="90" t="e">
        <x:f>IF(E20=0,0,F20/E20)</x:f>
      </x:c>
    </x:row>
    <x:row r="21" s="116" customFormat="1" ht="15.75" customHeight="1">
      <x:c r="A21" s="110" t="inlineStr">
        <x:is>
          <x:t xml:space="preserve">February</x:t>
        </x:is>
      </x:c>
      <x:c r="B21" s="63">
        <x:f>COUNTIFS(
  'All Booked Calls Data'!$A:$A,"&gt;="&amp;DATE(2026,2,1),
  'All Booked Calls Data'!$A:$A,"&lt;"&amp;DATE(2026,3,1)
)
</x:f>
        <x:v>90</x:v>
      </x:c>
      <x:c r="C21" s="63" t="e">
        <x:f>COUNTIFS(
  'All Booked Calls Data'!$F:$F,"Showed",
  'All Booked Calls Data'!$A:$A,"&gt;="&amp;DATE(2026,2,1),
  'All Booked Calls Data'!$A:$A,"&lt;"&amp;DATE(2026,3,1)
)
</x:f>
      </x:c>
      <x:c r="D21" s="63" t="e">
        <x:f>COUNTIFS(
  'All Booked Calls Data'!$F:$F,"No-Show",
  'All Booked Calls Data'!$A:$A,"&gt;="&amp;DATE(2026,2,1),
  'All Booked Calls Data'!$A:$A,"&lt;"&amp;DATE(2026,3,1)
)
</x:f>
      </x:c>
      <x:c r="E21" s="63">
        <x:f>COUNTIFS(
  'All Booked Calls Data'!$G:$G,"Closed",
  'All Booked Calls Data'!$A:$A,"&gt;="&amp;DATE(2026,2,1),
  'All Booked Calls Data'!$A:$A,"&lt;"&amp;DATE(2026,3,1)
)
</x:f>
        <x:v>10</x:v>
      </x:c>
      <x:c r="F21" s="63" t="e">
        <x:f>SUMIFS(
  'All Booked Calls Data'!$I:$I,
  'All Booked Calls Data'!$A:$A,"&gt;="&amp;DATE(2026,2,1),
  'All Booked Calls Data'!$A:$A,"&lt;"&amp;DATE(2026,3,1)
)
</x:f>
      </x:c>
      <x:c r="G21" s="111" t="e">
        <x:f>IF(B21=0,0,C21/B21)</x:f>
      </x:c>
      <x:c r="H21" s="111" t="e">
        <x:f>IF(C21=0,0,E21/C21)</x:f>
      </x:c>
      <x:c r="I21" s="90" t="e">
        <x:f>IF(E21=0,0,F21/E21)</x:f>
      </x:c>
    </x:row>
    <x:row r="22" s="116" customFormat="1" ht="15.75" customHeight="1">
      <x:c r="A22" s="110" t="inlineStr">
        <x:is>
          <x:t xml:space="preserve">March</x:t>
        </x:is>
      </x:c>
      <x:c r="B22" s="63">
        <x:f>COUNTIFS('All Booked Calls Data'!$Q:$Q,3,'All Booked Calls Data'!$R:$R,2026)</x:f>
        <x:v>70</x:v>
      </x:c>
      <x:c r="C22" s="63">
        <x:f>COUNTIFS('All Booked Calls Data'!$F:$F,"Showed",'All Booked Calls Data'!$Q:$Q,3,'All Booked Calls Data'!$R:$R,2026)</x:f>
        <x:v>18</x:v>
      </x:c>
      <x:c r="D22" s="63">
        <x:f>COUNTIFS('All Booked Calls Data'!$F:$F,"No-Show",'All Booked Calls Data'!$Q:$Q,3,'All Booked Calls Data'!$R:$R,2026)</x:f>
        <x:v>35</x:v>
      </x:c>
      <x:c r="E22" s="63" t="e">
        <x:f>COUNTIFS('All Booked Calls Data'!$G:$G,"Closed",'All Booked Calls Data'!$Q:$Q,3,'All Booked Calls Data'!$R:$R,2026)</x:f>
      </x:c>
      <x:c r="F22" s="63" t="e">
        <x:f>SUMIFS('All Booked Calls Data'!$I:$I,'All Booked Calls Data'!$Q:$Q,3,'All Booked Calls Data'!$R:$R,2026)</x:f>
      </x:c>
      <x:c r="G22" s="111">
        <x:f>IF(B22=0,0,C22/B22)</x:f>
        <x:v>0.2571428571428571</x:v>
      </x:c>
      <x:c r="H22" s="111" t="e">
        <x:f>IF(C22=0,0,E22/C22)</x:f>
      </x:c>
      <x:c r="I22" s="90" t="e">
        <x:f>IF(E22=0,0,F22/E22)</x:f>
      </x:c>
      <x:c r="S22" s="112" t="n"/>
    </x:row>
    <x:row r="23" s="116" customFormat="1" ht="15.75" customHeight="1">
      <x:c r="A23" s="110" t="inlineStr">
        <x:is>
          <x:t xml:space="preserve">April</x:t>
        </x:is>
      </x:c>
      <x:c r="B23" s="63">
        <x:f>COUNTIFS('All Booked Calls Data'!$Q:$Q,4,'All Booked Calls Data'!$R:$R,2026)</x:f>
        <x:v>0</x:v>
      </x:c>
      <x:c r="C23" s="63">
        <x:f>COUNTIFS('All Booked Calls Data'!$F:$F,"Showed",'All Booked Calls Data'!$Q:$Q,4,'All Booked Calls Data'!$R:$R,2026)</x:f>
        <x:v>0</x:v>
      </x:c>
      <x:c r="D23" s="63">
        <x:f>COUNTIFS('All Booked Calls Data'!$F:$F,"No-Show",'All Booked Calls Data'!$Q:$Q,4,'All Booked Calls Data'!$R:$R,2026)</x:f>
        <x:v>0</x:v>
      </x:c>
      <x:c r="E23" s="63" t="e">
        <x:f>COUNTIFS('All Booked Calls Data'!$G:$G,"Closed",'All Booked Calls Data'!$Q:$Q,4,'All Booked Calls Data'!$R:$R,2026)</x:f>
      </x:c>
      <x:c r="F23" s="63" t="e">
        <x:f>SUMIFS('All Booked Calls Data'!$I:$I,'All Booked Calls Data'!$Q:$Q,4,'All Booked Calls Data'!$R:$R,2026)</x:f>
      </x:c>
      <x:c r="G23" s="111">
        <x:f>IF(B23=0,0,C23/B23)</x:f>
        <x:v>0</x:v>
      </x:c>
      <x:c r="H23" s="111">
        <x:f>IF(C23=0,0,E23/C23)</x:f>
        <x:v>0</x:v>
      </x:c>
      <x:c r="I23" s="90" t="e">
        <x:f>IF(E23=0,0,F23/E23)</x:f>
      </x:c>
    </x:row>
    <x:row r="24" s="116" customFormat="1" ht="15.75" customHeight="1">
      <x:c r="A24" s="110" t="inlineStr">
        <x:is>
          <x:t xml:space="preserve">May</x:t>
        </x:is>
      </x:c>
      <x:c r="B24" s="63">
        <x:f>COUNTIFS('All Booked Calls Data'!$Q:$Q,5,'All Booked Calls Data'!$R:$R,2026)</x:f>
        <x:v>0</x:v>
      </x:c>
      <x:c r="C24" s="63">
        <x:f>COUNTIFS('All Booked Calls Data'!$F:$F,"Showed",'All Booked Calls Data'!$Q:$Q,5,'All Booked Calls Data'!$R:$R,2026)</x:f>
        <x:v>0</x:v>
      </x:c>
      <x:c r="D24" s="63">
        <x:f>COUNTIFS('All Booked Calls Data'!$F:$F,"No-Show",'All Booked Calls Data'!$Q:$Q,5,'All Booked Calls Data'!$R:$R,2026)</x:f>
        <x:v>0</x:v>
      </x:c>
      <x:c r="E24" s="63" t="e">
        <x:f>COUNTIFS('All Booked Calls Data'!$G:$G,"Closed",'All Booked Calls Data'!$Q:$Q,5,'All Booked Calls Data'!$R:$R,2026)</x:f>
      </x:c>
      <x:c r="F24" s="63" t="e">
        <x:f>SUMIFS('All Booked Calls Data'!$I:$I,'All Booked Calls Data'!$Q:$Q,5,'All Booked Calls Data'!$R:$R,2026)</x:f>
      </x:c>
      <x:c r="G24" s="111">
        <x:f>IF(B24=0,0,C24/B24)</x:f>
        <x:v>0</x:v>
      </x:c>
      <x:c r="H24" s="111">
        <x:f>IF(C24=0,0,E24/C24)</x:f>
        <x:v>0</x:v>
      </x:c>
      <x:c r="I24" s="90" t="e">
        <x:f>IF(E24=0,0,F24/E24)</x:f>
      </x:c>
    </x:row>
    <x:row r="25" s="116" customFormat="1" ht="15.75" customHeight="1">
      <x:c r="A25" s="110" t="inlineStr">
        <x:is>
          <x:t xml:space="preserve">June</x:t>
        </x:is>
      </x:c>
      <x:c r="B25" s="63">
        <x:f>COUNTIFS('All Booked Calls Data'!$Q:$Q,6,'All Booked Calls Data'!$R:$R,2026)</x:f>
        <x:v>0</x:v>
      </x:c>
      <x:c r="C25" s="63">
        <x:f>COUNTIFS('All Booked Calls Data'!$F:$F,"Showed",'All Booked Calls Data'!$Q:$Q,6,'All Booked Calls Data'!$R:$R,2026)</x:f>
        <x:v>0</x:v>
      </x:c>
      <x:c r="D25" s="63">
        <x:f>COUNTIFS('All Booked Calls Data'!$F:$F,"No-Show",'All Booked Calls Data'!$Q:$Q,6,'All Booked Calls Data'!$R:$R,2026)</x:f>
        <x:v>0</x:v>
      </x:c>
      <x:c r="E25" s="63" t="e">
        <x:f>COUNTIFS('All Booked Calls Data'!$G:$G,"Closed",'All Booked Calls Data'!$Q:$Q,6,'All Booked Calls Data'!$R:$R,2026)</x:f>
      </x:c>
      <x:c r="F25" s="63" t="e">
        <x:f>SUMIFS('All Booked Calls Data'!$I:$I,'All Booked Calls Data'!$Q:$Q,6,'All Booked Calls Data'!$R:$R,2026)</x:f>
      </x:c>
      <x:c r="G25" s="111">
        <x:f>IF(B25=0,0,C25/B25)</x:f>
        <x:v>0</x:v>
      </x:c>
      <x:c r="H25" s="111">
        <x:f>IF(C25=0,0,E25/C25)</x:f>
        <x:v>0</x:v>
      </x:c>
      <x:c r="I25" s="90" t="e">
        <x:f>IF(E25=0,0,F25/E25)</x:f>
      </x:c>
    </x:row>
    <x:row r="26" s="116" customFormat="1" ht="15.75" customHeight="1">
      <x:c r="A26" s="110" t="inlineStr">
        <x:is>
          <x:t xml:space="preserve">July</x:t>
        </x:is>
      </x:c>
      <x:c r="B26" s="63">
        <x:f>COUNTIFS('All Booked Calls Data'!$Q:$Q,7,'All Booked Calls Data'!$R:$R,2026)</x:f>
        <x:v>0</x:v>
      </x:c>
      <x:c r="C26" s="63">
        <x:f>COUNTIFS('All Booked Calls Data'!$F:$F,"Showed",'All Booked Calls Data'!$Q:$Q,7,'All Booked Calls Data'!$R:$R,2026)</x:f>
        <x:v>0</x:v>
      </x:c>
      <x:c r="D26" s="63">
        <x:f>COUNTIFS('All Booked Calls Data'!$F:$F,"No-Show",'All Booked Calls Data'!$Q:$Q,7,'All Booked Calls Data'!$R:$R,2026)</x:f>
        <x:v>0</x:v>
      </x:c>
      <x:c r="E26" s="63" t="e">
        <x:f>COUNTIFS('All Booked Calls Data'!$G:$G,"Closed",'All Booked Calls Data'!$Q:$Q,7,'All Booked Calls Data'!$R:$R,2026)</x:f>
      </x:c>
      <x:c r="F26" s="63" t="e">
        <x:f>SUMIFS('All Booked Calls Data'!$I:$I,'All Booked Calls Data'!$Q:$Q,7,'All Booked Calls Data'!$R:$R,2026)</x:f>
      </x:c>
      <x:c r="G26" s="111">
        <x:f>IF(B26=0,0,C26/B26)</x:f>
        <x:v>0</x:v>
      </x:c>
      <x:c r="H26" s="111">
        <x:f>IF(C26=0,0,E26/C26)</x:f>
        <x:v>0</x:v>
      </x:c>
      <x:c r="I26" s="90" t="e">
        <x:f>IF(E26=0,0,F26/E26)</x:f>
      </x:c>
    </x:row>
    <x:row r="27" s="116" customFormat="1" ht="15.75" customHeight="1">
      <x:c r="A27" s="110" t="inlineStr">
        <x:is>
          <x:t xml:space="preserve">August</x:t>
        </x:is>
      </x:c>
      <x:c r="B27" s="63">
        <x:f>COUNTIFS('All Booked Calls Data'!$Q:$Q,8,'All Booked Calls Data'!$R:$R,2026)</x:f>
        <x:v>0</x:v>
      </x:c>
      <x:c r="C27" s="63">
        <x:f>COUNTIFS('All Booked Calls Data'!$F:$F,"Showed",'All Booked Calls Data'!$Q:$Q,8,'All Booked Calls Data'!$R:$R,2026)</x:f>
        <x:v>0</x:v>
      </x:c>
      <x:c r="D27" s="63">
        <x:f>COUNTIFS('All Booked Calls Data'!$F:$F,"No-Show",'All Booked Calls Data'!$Q:$Q,8,'All Booked Calls Data'!$R:$R,2026)</x:f>
        <x:v>0</x:v>
      </x:c>
      <x:c r="E27" s="63" t="e">
        <x:f>COUNTIFS('All Booked Calls Data'!$G:$G,"Closed",'All Booked Calls Data'!$Q:$Q,8,'All Booked Calls Data'!$R:$R,2026)</x:f>
      </x:c>
      <x:c r="F27" s="63" t="e">
        <x:f>SUMIFS('All Booked Calls Data'!$I:$I,'All Booked Calls Data'!$Q:$Q,8,'All Booked Calls Data'!$R:$R,2026)</x:f>
      </x:c>
      <x:c r="G27" s="111">
        <x:f>IF(B27=0,0,C27/B27)</x:f>
        <x:v>0</x:v>
      </x:c>
      <x:c r="H27" s="111">
        <x:f>IF(C27=0,0,E27/C27)</x:f>
        <x:v>0</x:v>
      </x:c>
      <x:c r="I27" s="90" t="e">
        <x:f>IF(E27=0,0,F27/E27)</x:f>
      </x:c>
    </x:row>
    <x:row r="28" s="116" customFormat="1" ht="15.75" customHeight="1">
      <x:c r="A28" s="110" t="inlineStr">
        <x:is>
          <x:t xml:space="preserve">September</x:t>
        </x:is>
      </x:c>
      <x:c r="B28" s="63">
        <x:f>COUNTIFS('All Booked Calls Data'!$Q:$Q,9,'All Booked Calls Data'!$R:$R,2026)</x:f>
        <x:v>0</x:v>
      </x:c>
      <x:c r="C28" s="63">
        <x:f>COUNTIFS('All Booked Calls Data'!$F:$F,"Showed",'All Booked Calls Data'!$Q:$Q,9,'All Booked Calls Data'!$R:$R,2026)</x:f>
        <x:v>0</x:v>
      </x:c>
      <x:c r="D28" s="63">
        <x:f>COUNTIFS('All Booked Calls Data'!$F:$F,"No-Show",'All Booked Calls Data'!$Q:$Q,9,'All Booked Calls Data'!$R:$R,2026)</x:f>
        <x:v>0</x:v>
      </x:c>
      <x:c r="E28" s="63" t="e">
        <x:f>COUNTIFS('All Booked Calls Data'!$G:$G,"Closed",'All Booked Calls Data'!$Q:$Q,9,'All Booked Calls Data'!$R:$R,2026)</x:f>
      </x:c>
      <x:c r="F28" s="63" t="e">
        <x:f>SUMIFS('All Booked Calls Data'!$I:$I,'All Booked Calls Data'!$Q:$Q,9,'All Booked Calls Data'!$R:$R,2026)</x:f>
      </x:c>
      <x:c r="G28" s="111">
        <x:f>IF(B28=0,0,C28/B28)</x:f>
        <x:v>0</x:v>
      </x:c>
      <x:c r="H28" s="111">
        <x:f>IF(C28=0,0,E28/C28)</x:f>
        <x:v>0</x:v>
      </x:c>
      <x:c r="I28" s="90" t="e">
        <x:f>IF(E28=0,0,F28/E28)</x:f>
      </x:c>
    </x:row>
    <x:row r="29" s="116" customFormat="1" ht="15.75" customHeight="1">
      <x:c r="A29" s="110" t="inlineStr">
        <x:is>
          <x:t xml:space="preserve">October</x:t>
        </x:is>
      </x:c>
      <x:c r="B29" s="63">
        <x:f>COUNTIFS('All Booked Calls Data'!$Q:$Q,10,'All Booked Calls Data'!$R:$R,2026)</x:f>
        <x:v>0</x:v>
      </x:c>
      <x:c r="C29" s="63">
        <x:f>COUNTIFS('All Booked Calls Data'!$F:$F,"Showed",'All Booked Calls Data'!$Q:$Q,10,'All Booked Calls Data'!$R:$R,2026)</x:f>
        <x:v>0</x:v>
      </x:c>
      <x:c r="D29" s="63">
        <x:f>COUNTIFS('All Booked Calls Data'!$F:$F,"No-Show",'All Booked Calls Data'!$Q:$Q,10,'All Booked Calls Data'!$R:$R,2026)</x:f>
        <x:v>0</x:v>
      </x:c>
      <x:c r="E29" s="63" t="e">
        <x:f>COUNTIFS('All Booked Calls Data'!$G:$G,"Closed",'All Booked Calls Data'!$Q:$Q,10,'All Booked Calls Data'!$R:$R,2026)</x:f>
      </x:c>
      <x:c r="F29" s="63" t="e">
        <x:f>SUMIFS('All Booked Calls Data'!$I:$I,'All Booked Calls Data'!$Q:$Q,10,'All Booked Calls Data'!$R:$R,2026)</x:f>
      </x:c>
      <x:c r="G29" s="111">
        <x:f>IF(B29=0,0,C29/B29)</x:f>
        <x:v>0</x:v>
      </x:c>
      <x:c r="H29" s="111">
        <x:f>IF(C29=0,0,E29/C29)</x:f>
        <x:v>0</x:v>
      </x:c>
      <x:c r="I29" s="90" t="e">
        <x:f>IF(E29=0,0,F29/E29)</x:f>
      </x:c>
    </x:row>
    <x:row r="30" s="116" customFormat="1" ht="15.75" customHeight="1">
      <x:c r="A30" s="110" t="inlineStr">
        <x:is>
          <x:t xml:space="preserve">November</x:t>
        </x:is>
      </x:c>
      <x:c r="B30" s="63">
        <x:f>COUNTIFS('All Booked Calls Data'!$Q:$Q,11,'All Booked Calls Data'!$R:$R,2026)</x:f>
        <x:v>0</x:v>
      </x:c>
      <x:c r="C30" s="63">
        <x:f>COUNTIFS('All Booked Calls Data'!$F:$F,"Showed",'All Booked Calls Data'!$Q:$Q,11,'All Booked Calls Data'!$R:$R,2026)</x:f>
        <x:v>0</x:v>
      </x:c>
      <x:c r="D30" s="63">
        <x:f>COUNTIFS('All Booked Calls Data'!$F:$F,"No-Show",'All Booked Calls Data'!$Q:$Q,11,'All Booked Calls Data'!$R:$R,2026)</x:f>
        <x:v>0</x:v>
      </x:c>
      <x:c r="E30" s="63" t="e">
        <x:f>COUNTIFS('All Booked Calls Data'!$G:$G,"Closed",'All Booked Calls Data'!$Q:$Q,11,'All Booked Calls Data'!$R:$R,2026)</x:f>
      </x:c>
      <x:c r="F30" s="63" t="e">
        <x:f>SUMIFS('All Booked Calls Data'!$I:$I,'All Booked Calls Data'!$Q:$Q,11,'All Booked Calls Data'!$R:$R,2026)</x:f>
      </x:c>
      <x:c r="G30" s="111">
        <x:f>IF(B30=0,0,C30/B30)</x:f>
        <x:v>0</x:v>
      </x:c>
      <x:c r="H30" s="111">
        <x:f>IF(C30=0,0,E30/C30)</x:f>
        <x:v>0</x:v>
      </x:c>
      <x:c r="I30" s="90" t="e">
        <x:f>IF(E30=0,0,F30/E30)</x:f>
      </x:c>
    </x:row>
    <x:row r="31" s="116" customFormat="1" ht="15.75" customHeight="1">
      <x:c r="A31" s="113" t="inlineStr">
        <x:is>
          <x:t xml:space="preserve">December</x:t>
        </x:is>
      </x:c>
      <x:c r="B31" s="63">
        <x:f>COUNTIFS('All Booked Calls Data'!$Q:$Q,12,'All Booked Calls Data'!$R:$R,2026)</x:f>
        <x:v>0</x:v>
      </x:c>
      <x:c r="C31" s="63">
        <x:f>COUNTIFS('All Booked Calls Data'!$F:$F,"Showed",'All Booked Calls Data'!$Q:$Q,12,'All Booked Calls Data'!$R:$R,2026)</x:f>
        <x:v>0</x:v>
      </x:c>
      <x:c r="D31" s="63">
        <x:f>COUNTIFS('All Booked Calls Data'!$F:$F,"No-Show",'All Booked Calls Data'!$Q:$Q,12,'All Booked Calls Data'!$R:$R,2026)</x:f>
        <x:v>0</x:v>
      </x:c>
      <x:c r="E31" s="114" t="e">
        <x:f>COUNTIFS('All Booked Calls Data'!$G:$G,"Closed",'All Booked Calls Data'!$Q:$Q,12,'All Booked Calls Data'!$R:$R,2026)</x:f>
      </x:c>
      <x:c r="F31" s="63" t="e">
        <x:f>SUMIFS('All Booked Calls Data'!$I:$I,'All Booked Calls Data'!$Q:$Q,12,'All Booked Calls Data'!$R:$R,2026)</x:f>
      </x:c>
      <x:c r="G31" s="115">
        <x:f>IF(B31=0,0,C31/B31)</x:f>
        <x:v>0</x:v>
      </x:c>
      <x:c r="H31" s="115">
        <x:f>IF(C31=0,0,E31/C31)</x:f>
        <x:v>0</x:v>
      </x:c>
      <x:c r="I31" s="104" t="e">
        <x:f>IF(E31=0,0,F31/E31)</x:f>
      </x:c>
    </x:row>
    <x:row r="32" s="116" customFormat="1" ht="15.75" customHeight="1">
      <x:c r="G32" s="106" t="n"/>
      <x:c r="H32" s="106" t="n"/>
    </x:row>
    <x:row r="33" s="116" customFormat="1" ht="15.75" customHeight="1">
      <x:c r="G33" s="106" t="n"/>
      <x:c r="H33" s="106" t="n"/>
    </x:row>
    <x:row r="34" s="116" customFormat="1" ht="15.75" customHeight="1">
      <x:c r="G34" s="106" t="n"/>
      <x:c r="H34" s="106" t="n"/>
    </x:row>
    <x:row r="35" s="116" customFormat="1" ht="15.75" customHeight="1">
      <x:c r="G35" s="106" t="n"/>
      <x:c r="H35" s="106" t="n"/>
    </x:row>
    <x:row r="36" s="116" customFormat="1" ht="15.75" customHeight="1">
      <x:c r="G36" s="106" t="n"/>
      <x:c r="H36" s="106" t="n"/>
    </x:row>
    <x:row r="37" s="116" customFormat="1" ht="15.75" customHeight="1">
      <x:c r="G37" s="106" t="n"/>
      <x:c r="H37" s="106" t="n"/>
    </x:row>
    <x:row r="38" s="116" customFormat="1" ht="15.75" customHeight="1">
      <x:c r="G38" s="106" t="n"/>
      <x:c r="H38" s="106" t="n"/>
    </x:row>
    <x:row r="39" s="116" customFormat="1" ht="15.75" customHeight="1">
      <x:c r="G39" s="106" t="n"/>
      <x:c r="H39" s="106" t="n"/>
    </x:row>
    <x:row r="40" s="116" customFormat="1" ht="15.75" customHeight="1">
      <x:c r="G40" s="106" t="n"/>
      <x:c r="H40" s="106" t="n"/>
    </x:row>
    <x:row r="41" s="116" customFormat="1" ht="15.75" customHeight="1">
      <x:c r="G41" s="106" t="n"/>
      <x:c r="H41" s="106" t="n"/>
    </x:row>
    <x:row r="42" s="116" customFormat="1" ht="15.75" customHeight="1">
      <x:c r="G42" s="106" t="n"/>
      <x:c r="H42" s="106" t="n"/>
    </x:row>
    <x:row r="43" s="116" customFormat="1" ht="15.75" customHeight="1">
      <x:c r="G43" s="106" t="n"/>
      <x:c r="H43" s="106" t="n"/>
    </x:row>
    <x:row r="44" s="116" customFormat="1" ht="15.75" customHeight="1">
      <x:c r="G44" s="106" t="n"/>
      <x:c r="H44" s="106" t="n"/>
    </x:row>
    <x:row r="45" s="116" customFormat="1" ht="15.75" customHeight="1">
      <x:c r="G45" s="106" t="n"/>
      <x:c r="H45" s="106" t="n"/>
    </x:row>
    <x:row r="46" s="116" customFormat="1" ht="15.75" customHeight="1">
      <x:c r="G46" s="106" t="n"/>
      <x:c r="H46" s="106" t="n"/>
    </x:row>
    <x:row r="47" s="116" customFormat="1" ht="15.75" customHeight="1">
      <x:c r="G47" s="106" t="n"/>
      <x:c r="H47" s="106" t="n"/>
    </x:row>
    <x:row r="48" s="116" customFormat="1" ht="15.75" customHeight="1">
      <x:c r="G48" s="106" t="n"/>
      <x:c r="H48" s="106" t="n"/>
    </x:row>
    <x:row r="49" s="116" customFormat="1" ht="15.75" customHeight="1">
      <x:c r="G49" s="106" t="n"/>
      <x:c r="H49" s="106" t="n"/>
    </x:row>
    <x:row r="50" s="116" customFormat="1" ht="15.75" customHeight="1">
      <x:c r="G50" s="106" t="n"/>
      <x:c r="H50" s="106" t="n"/>
    </x:row>
    <x:row r="51" s="116" customFormat="1" ht="15.75" customHeight="1">
      <x:c r="G51" s="106" t="n"/>
      <x:c r="H51" s="106" t="n"/>
    </x:row>
    <x:row r="52" s="116" customFormat="1" ht="15.75" customHeight="1">
      <x:c r="G52" s="106" t="n"/>
      <x:c r="H52" s="106" t="n"/>
    </x:row>
    <x:row r="53" s="116" customFormat="1" ht="15.75" customHeight="1">
      <x:c r="G53" s="106" t="n"/>
      <x:c r="H53" s="106" t="n"/>
    </x:row>
    <x:row r="54" s="116" customFormat="1" ht="15.75" customHeight="1">
      <x:c r="G54" s="106" t="n"/>
      <x:c r="H54" s="106" t="n"/>
    </x:row>
    <x:row r="55" s="116" customFormat="1" ht="15.75" customHeight="1">
      <x:c r="G55" s="106" t="n"/>
      <x:c r="H55" s="106" t="n"/>
    </x:row>
    <x:row r="56" s="116" customFormat="1" ht="15.75" customHeight="1">
      <x:c r="G56" s="106" t="n"/>
      <x:c r="H56" s="106" t="n"/>
    </x:row>
    <x:row r="57" s="116" customFormat="1" ht="15.75" customHeight="1">
      <x:c r="G57" s="106" t="n"/>
      <x:c r="H57" s="106" t="n"/>
    </x:row>
    <x:row r="58" s="116" customFormat="1" ht="15.75" customHeight="1">
      <x:c r="G58" s="106" t="n"/>
      <x:c r="H58" s="106" t="n"/>
    </x:row>
    <x:row r="59" s="116" customFormat="1" ht="15.75" customHeight="1">
      <x:c r="G59" s="106" t="n"/>
      <x:c r="H59" s="106" t="n"/>
    </x:row>
    <x:row r="60" s="116" customFormat="1" ht="15.75" customHeight="1">
      <x:c r="G60" s="106" t="n"/>
      <x:c r="H60" s="106" t="n"/>
    </x:row>
    <x:row r="61" s="116" customFormat="1" ht="15.75" customHeight="1">
      <x:c r="G61" s="106" t="n"/>
      <x:c r="H61" s="106" t="n"/>
    </x:row>
    <x:row r="62" s="116" customFormat="1" ht="15.75" customHeight="1">
      <x:c r="G62" s="106" t="n"/>
      <x:c r="H62" s="106" t="n"/>
    </x:row>
    <x:row r="63" s="116" customFormat="1" ht="15.75" customHeight="1">
      <x:c r="G63" s="106" t="n"/>
      <x:c r="H63" s="106" t="n"/>
    </x:row>
    <x:row r="64" s="116" customFormat="1" ht="15.75" customHeight="1">
      <x:c r="G64" s="106" t="n"/>
      <x:c r="H64" s="106" t="n"/>
    </x:row>
    <x:row r="65" s="116" customFormat="1" ht="15.75" customHeight="1">
      <x:c r="G65" s="106" t="n"/>
      <x:c r="H65" s="106" t="n"/>
    </x:row>
    <x:row r="66" s="116" customFormat="1" ht="15.75" customHeight="1">
      <x:c r="G66" s="106" t="n"/>
      <x:c r="H66" s="106" t="n"/>
    </x:row>
    <x:row r="67" s="116" customFormat="1" ht="15.75" customHeight="1">
      <x:c r="G67" s="106" t="n"/>
      <x:c r="H67" s="106" t="n"/>
    </x:row>
    <x:row r="68" s="116" customFormat="1" ht="15.75" customHeight="1">
      <x:c r="G68" s="106" t="n"/>
      <x:c r="H68" s="106" t="n"/>
    </x:row>
    <x:row r="69" s="116" customFormat="1" ht="15.75" customHeight="1">
      <x:c r="G69" s="106" t="n"/>
      <x:c r="H69" s="106" t="n"/>
    </x:row>
    <x:row r="70" s="116" customFormat="1" ht="15.75" customHeight="1">
      <x:c r="G70" s="106" t="n"/>
      <x:c r="H70" s="106" t="n"/>
    </x:row>
    <x:row r="71" s="116" customFormat="1" ht="15.75" customHeight="1">
      <x:c r="G71" s="106" t="n"/>
      <x:c r="H71" s="106" t="n"/>
    </x:row>
    <x:row r="72" s="116" customFormat="1" ht="15.75" customHeight="1">
      <x:c r="G72" s="106" t="n"/>
      <x:c r="H72" s="106" t="n"/>
    </x:row>
    <x:row r="73" s="116" customFormat="1" ht="15.75" customHeight="1">
      <x:c r="G73" s="106" t="n"/>
      <x:c r="H73" s="106" t="n"/>
    </x:row>
    <x:row r="74" s="116" customFormat="1" ht="15.75" customHeight="1">
      <x:c r="G74" s="106" t="n"/>
      <x:c r="H74" s="106" t="n"/>
    </x:row>
    <x:row r="75" s="116" customFormat="1" ht="15.75" customHeight="1">
      <x:c r="G75" s="106" t="n"/>
      <x:c r="H75" s="106" t="n"/>
    </x:row>
    <x:row r="76" s="116" customFormat="1" ht="15.75" customHeight="1">
      <x:c r="G76" s="106" t="n"/>
      <x:c r="H76" s="106" t="n"/>
    </x:row>
    <x:row r="77" s="116" customFormat="1" ht="15.75" customHeight="1">
      <x:c r="G77" s="106" t="n"/>
      <x:c r="H77" s="106" t="n"/>
    </x:row>
    <x:row r="78" s="116" customFormat="1" ht="15.75" customHeight="1">
      <x:c r="G78" s="106" t="n"/>
      <x:c r="H78" s="106" t="n"/>
    </x:row>
    <x:row r="79" s="116" customFormat="1" ht="15.75" customHeight="1">
      <x:c r="G79" s="106" t="n"/>
      <x:c r="H79" s="106" t="n"/>
    </x:row>
    <x:row r="80" s="116" customFormat="1" ht="15.75" customHeight="1">
      <x:c r="G80" s="106" t="n"/>
      <x:c r="H80" s="106" t="n"/>
    </x:row>
    <x:row r="81" s="116" customFormat="1" ht="15.75" customHeight="1">
      <x:c r="G81" s="106" t="n"/>
      <x:c r="H81" s="106" t="n"/>
    </x:row>
    <x:row r="82" s="116" customFormat="1" ht="15.75" customHeight="1">
      <x:c r="G82" s="106" t="n"/>
      <x:c r="H82" s="106" t="n"/>
    </x:row>
    <x:row r="83" s="116" customFormat="1" ht="15.75" customHeight="1">
      <x:c r="G83" s="106" t="n"/>
      <x:c r="H83" s="106" t="n"/>
    </x:row>
    <x:row r="84" s="116" customFormat="1" ht="15.75" customHeight="1">
      <x:c r="G84" s="106" t="n"/>
      <x:c r="H84" s="106" t="n"/>
    </x:row>
    <x:row r="85" s="116" customFormat="1" ht="15.75" customHeight="1">
      <x:c r="G85" s="106" t="n"/>
      <x:c r="H85" s="106" t="n"/>
    </x:row>
    <x:row r="86" s="116" customFormat="1" ht="15.75" customHeight="1">
      <x:c r="G86" s="106" t="n"/>
      <x:c r="H86" s="106" t="n"/>
    </x:row>
    <x:row r="87" s="116" customFormat="1" ht="15.75" customHeight="1">
      <x:c r="G87" s="106" t="n"/>
      <x:c r="H87" s="106" t="n"/>
    </x:row>
    <x:row r="88" s="116" customFormat="1" ht="15.75" customHeight="1">
      <x:c r="G88" s="106" t="n"/>
      <x:c r="H88" s="106" t="n"/>
    </x:row>
    <x:row r="89" s="116" customFormat="1" ht="15.75" customHeight="1">
      <x:c r="G89" s="106" t="n"/>
      <x:c r="H89" s="106" t="n"/>
    </x:row>
    <x:row r="90" s="116" customFormat="1" ht="15.75" customHeight="1">
      <x:c r="G90" s="106" t="n"/>
      <x:c r="H90" s="106" t="n"/>
    </x:row>
    <x:row r="91" s="116" customFormat="1" ht="15.75" customHeight="1">
      <x:c r="G91" s="106" t="n"/>
      <x:c r="H91" s="106" t="n"/>
    </x:row>
    <x:row r="92" s="116" customFormat="1" ht="15.75" customHeight="1">
      <x:c r="G92" s="106" t="n"/>
      <x:c r="H92" s="106" t="n"/>
    </x:row>
    <x:row r="93" s="116" customFormat="1" ht="15.75" customHeight="1">
      <x:c r="G93" s="106" t="n"/>
      <x:c r="H93" s="106" t="n"/>
    </x:row>
    <x:row r="94" s="116" customFormat="1" ht="15.75" customHeight="1">
      <x:c r="G94" s="106" t="n"/>
      <x:c r="H94" s="106" t="n"/>
    </x:row>
    <x:row r="95" s="116" customFormat="1" ht="15.75" customHeight="1">
      <x:c r="G95" s="106" t="n"/>
      <x:c r="H95" s="106" t="n"/>
    </x:row>
    <x:row r="96" s="116" customFormat="1" ht="15.75" customHeight="1">
      <x:c r="G96" s="106" t="n"/>
      <x:c r="H96" s="106" t="n"/>
    </x:row>
    <x:row r="97" s="116" customFormat="1" ht="15.75" customHeight="1">
      <x:c r="G97" s="106" t="n"/>
      <x:c r="H97" s="106" t="n"/>
    </x:row>
    <x:row r="98" s="116" customFormat="1" ht="15.75" customHeight="1">
      <x:c r="G98" s="106" t="n"/>
      <x:c r="H98" s="106" t="n"/>
    </x:row>
    <x:row r="99" s="116" customFormat="1" ht="15.75" customHeight="1">
      <x:c r="G99" s="106" t="n"/>
      <x:c r="H99" s="106" t="n"/>
    </x:row>
    <x:row r="100" s="116" customFormat="1" ht="15.75" customHeight="1">
      <x:c r="G100" s="106" t="n"/>
      <x:c r="H100" s="106" t="n"/>
    </x:row>
    <x:row r="101" s="116" customFormat="1" ht="15.75" customHeight="1">
      <x:c r="G101" s="106" t="n"/>
      <x:c r="H101" s="106" t="n"/>
    </x:row>
    <x:row r="102" s="116" customFormat="1" ht="15.75" customHeight="1">
      <x:c r="G102" s="106" t="n"/>
      <x:c r="H102" s="106" t="n"/>
    </x:row>
    <x:row r="103" s="116" customFormat="1" ht="15.75" customHeight="1">
      <x:c r="G103" s="106" t="n"/>
      <x:c r="H103" s="106" t="n"/>
    </x:row>
    <x:row r="104" s="116" customFormat="1" ht="15.75" customHeight="1">
      <x:c r="G104" s="106" t="n"/>
      <x:c r="H104" s="106" t="n"/>
    </x:row>
    <x:row r="105" s="116" customFormat="1" ht="15.75" customHeight="1">
      <x:c r="G105" s="106" t="n"/>
      <x:c r="H105" s="106" t="n"/>
    </x:row>
    <x:row r="106" s="116" customFormat="1" ht="15.75" customHeight="1">
      <x:c r="G106" s="106" t="n"/>
      <x:c r="H106" s="106" t="n"/>
    </x:row>
    <x:row r="107" s="116" customFormat="1" ht="15.75" customHeight="1">
      <x:c r="G107" s="106" t="n"/>
      <x:c r="H107" s="106" t="n"/>
    </x:row>
    <x:row r="108" s="116" customFormat="1" ht="15.75" customHeight="1">
      <x:c r="G108" s="106" t="n"/>
      <x:c r="H108" s="106" t="n"/>
    </x:row>
    <x:row r="109" s="116" customFormat="1" ht="15.75" customHeight="1">
      <x:c r="G109" s="106" t="n"/>
      <x:c r="H109" s="106" t="n"/>
    </x:row>
    <x:row r="110" s="116" customFormat="1" ht="15.75" customHeight="1">
      <x:c r="G110" s="106" t="n"/>
      <x:c r="H110" s="106" t="n"/>
    </x:row>
    <x:row r="111" s="116" customFormat="1" ht="15.75" customHeight="1">
      <x:c r="G111" s="106" t="n"/>
      <x:c r="H111" s="106" t="n"/>
    </x:row>
    <x:row r="112" s="116" customFormat="1" ht="15.75" customHeight="1">
      <x:c r="G112" s="106" t="n"/>
      <x:c r="H112" s="106" t="n"/>
    </x:row>
    <x:row r="113" s="116" customFormat="1" ht="15.75" customHeight="1">
      <x:c r="G113" s="106" t="n"/>
      <x:c r="H113" s="106" t="n"/>
    </x:row>
    <x:row r="114" s="116" customFormat="1" ht="15.75" customHeight="1">
      <x:c r="G114" s="106" t="n"/>
      <x:c r="H114" s="106" t="n"/>
    </x:row>
    <x:row r="115" s="116" customFormat="1" ht="15.75" customHeight="1">
      <x:c r="G115" s="106" t="n"/>
      <x:c r="H115" s="106" t="n"/>
    </x:row>
    <x:row r="116" s="116" customFormat="1" ht="15.75" customHeight="1">
      <x:c r="G116" s="106" t="n"/>
      <x:c r="H116" s="106" t="n"/>
    </x:row>
    <x:row r="117" s="116" customFormat="1" ht="15.75" customHeight="1">
      <x:c r="G117" s="106" t="n"/>
      <x:c r="H117" s="106" t="n"/>
    </x:row>
    <x:row r="118" s="116" customFormat="1" ht="15.75" customHeight="1">
      <x:c r="G118" s="106" t="n"/>
      <x:c r="H118" s="106" t="n"/>
    </x:row>
    <x:row r="119" s="116" customFormat="1" ht="15.75" customHeight="1">
      <x:c r="G119" s="106" t="n"/>
      <x:c r="H119" s="106" t="n"/>
    </x:row>
    <x:row r="120" s="116" customFormat="1" ht="15.75" customHeight="1">
      <x:c r="G120" s="106" t="n"/>
      <x:c r="H120" s="106" t="n"/>
    </x:row>
    <x:row r="121" s="116" customFormat="1" ht="15.75" customHeight="1">
      <x:c r="G121" s="106" t="n"/>
      <x:c r="H121" s="106" t="n"/>
    </x:row>
    <x:row r="122" s="116" customFormat="1" ht="15.75" customHeight="1">
      <x:c r="G122" s="106" t="n"/>
      <x:c r="H122" s="106" t="n"/>
    </x:row>
    <x:row r="123" s="116" customFormat="1" ht="15.75" customHeight="1">
      <x:c r="G123" s="106" t="n"/>
      <x:c r="H123" s="106" t="n"/>
    </x:row>
    <x:row r="124" s="116" customFormat="1" ht="15.75" customHeight="1">
      <x:c r="G124" s="106" t="n"/>
      <x:c r="H124" s="106" t="n"/>
    </x:row>
    <x:row r="125" s="116" customFormat="1" ht="15.75" customHeight="1">
      <x:c r="G125" s="106" t="n"/>
      <x:c r="H125" s="106" t="n"/>
    </x:row>
    <x:row r="126" s="116" customFormat="1" ht="15.75" customHeight="1">
      <x:c r="G126" s="106" t="n"/>
      <x:c r="H126" s="106" t="n"/>
    </x:row>
    <x:row r="127" s="116" customFormat="1" ht="15.75" customHeight="1">
      <x:c r="G127" s="106" t="n"/>
      <x:c r="H127" s="106" t="n"/>
    </x:row>
    <x:row r="128" s="116" customFormat="1" ht="15.75" customHeight="1">
      <x:c r="G128" s="106" t="n"/>
      <x:c r="H128" s="106" t="n"/>
    </x:row>
    <x:row r="129" s="116" customFormat="1" ht="15.75" customHeight="1">
      <x:c r="G129" s="106" t="n"/>
      <x:c r="H129" s="106" t="n"/>
    </x:row>
    <x:row r="130" s="116" customFormat="1" ht="15.75" customHeight="1">
      <x:c r="G130" s="106" t="n"/>
      <x:c r="H130" s="106" t="n"/>
    </x:row>
    <x:row r="131" s="116" customFormat="1" ht="15.75" customHeight="1">
      <x:c r="G131" s="106" t="n"/>
      <x:c r="H131" s="106" t="n"/>
    </x:row>
    <x:row r="132" s="116" customFormat="1" ht="15.75" customHeight="1">
      <x:c r="G132" s="106" t="n"/>
      <x:c r="H132" s="106" t="n"/>
    </x:row>
    <x:row r="133" s="116" customFormat="1" ht="15.75" customHeight="1">
      <x:c r="G133" s="106" t="n"/>
      <x:c r="H133" s="106" t="n"/>
    </x:row>
    <x:row r="134" s="116" customFormat="1" ht="15.75" customHeight="1">
      <x:c r="G134" s="106" t="n"/>
      <x:c r="H134" s="106" t="n"/>
    </x:row>
    <x:row r="135" s="116" customFormat="1" ht="15.75" customHeight="1">
      <x:c r="G135" s="106" t="n"/>
      <x:c r="H135" s="106" t="n"/>
    </x:row>
    <x:row r="136" s="116" customFormat="1" ht="15.75" customHeight="1">
      <x:c r="G136" s="106" t="n"/>
      <x:c r="H136" s="106" t="n"/>
    </x:row>
    <x:row r="137" s="116" customFormat="1" ht="15.75" customHeight="1">
      <x:c r="G137" s="106" t="n"/>
      <x:c r="H137" s="106" t="n"/>
    </x:row>
    <x:row r="138" s="116" customFormat="1" ht="15.75" customHeight="1">
      <x:c r="G138" s="106" t="n"/>
      <x:c r="H138" s="106" t="n"/>
    </x:row>
    <x:row r="139" s="116" customFormat="1" ht="15.75" customHeight="1">
      <x:c r="G139" s="106" t="n"/>
      <x:c r="H139" s="106" t="n"/>
    </x:row>
    <x:row r="140" s="116" customFormat="1" ht="15.75" customHeight="1">
      <x:c r="G140" s="106" t="n"/>
      <x:c r="H140" s="106" t="n"/>
    </x:row>
    <x:row r="141" s="116" customFormat="1" ht="15.75" customHeight="1">
      <x:c r="G141" s="106" t="n"/>
      <x:c r="H141" s="106" t="n"/>
    </x:row>
    <x:row r="142" s="116" customFormat="1" ht="15.75" customHeight="1">
      <x:c r="G142" s="106" t="n"/>
      <x:c r="H142" s="106" t="n"/>
    </x:row>
    <x:row r="143" s="116" customFormat="1" ht="15.75" customHeight="1">
      <x:c r="G143" s="106" t="n"/>
      <x:c r="H143" s="106" t="n"/>
    </x:row>
    <x:row r="144" s="116" customFormat="1" ht="15.75" customHeight="1">
      <x:c r="G144" s="106" t="n"/>
      <x:c r="H144" s="106" t="n"/>
    </x:row>
    <x:row r="145" s="116" customFormat="1" ht="15.75" customHeight="1">
      <x:c r="G145" s="106" t="n"/>
      <x:c r="H145" s="106" t="n"/>
    </x:row>
    <x:row r="146" s="116" customFormat="1" ht="15.75" customHeight="1">
      <x:c r="G146" s="106" t="n"/>
      <x:c r="H146" s="106" t="n"/>
    </x:row>
    <x:row r="147" s="116" customFormat="1" ht="15.75" customHeight="1">
      <x:c r="G147" s="106" t="n"/>
      <x:c r="H147" s="106" t="n"/>
    </x:row>
    <x:row r="148" s="116" customFormat="1" ht="15.75" customHeight="1">
      <x:c r="G148" s="106" t="n"/>
      <x:c r="H148" s="106" t="n"/>
    </x:row>
    <x:row r="149" s="116" customFormat="1" ht="15.75" customHeight="1">
      <x:c r="G149" s="106" t="n"/>
      <x:c r="H149" s="106" t="n"/>
    </x:row>
    <x:row r="150" s="116" customFormat="1" ht="15.75" customHeight="1">
      <x:c r="G150" s="106" t="n"/>
      <x:c r="H150" s="106" t="n"/>
    </x:row>
    <x:row r="151" s="116" customFormat="1" ht="15.75" customHeight="1">
      <x:c r="G151" s="106" t="n"/>
      <x:c r="H151" s="106" t="n"/>
    </x:row>
    <x:row r="152" s="116" customFormat="1" ht="15.75" customHeight="1">
      <x:c r="G152" s="106" t="n"/>
      <x:c r="H152" s="106" t="n"/>
    </x:row>
    <x:row r="153" s="116" customFormat="1" ht="15.75" customHeight="1">
      <x:c r="G153" s="106" t="n"/>
      <x:c r="H153" s="106" t="n"/>
    </x:row>
    <x:row r="154" s="116" customFormat="1" ht="15.75" customHeight="1">
      <x:c r="G154" s="106" t="n"/>
      <x:c r="H154" s="106" t="n"/>
    </x:row>
    <x:row r="155" s="116" customFormat="1" ht="15.75" customHeight="1">
      <x:c r="G155" s="106" t="n"/>
      <x:c r="H155" s="106" t="n"/>
    </x:row>
    <x:row r="156" s="116" customFormat="1" ht="15.75" customHeight="1">
      <x:c r="G156" s="106" t="n"/>
      <x:c r="H156" s="106" t="n"/>
    </x:row>
    <x:row r="157" s="116" customFormat="1" ht="15.75" customHeight="1">
      <x:c r="G157" s="106" t="n"/>
      <x:c r="H157" s="106" t="n"/>
    </x:row>
    <x:row r="158" s="116" customFormat="1" ht="15.75" customHeight="1">
      <x:c r="G158" s="106" t="n"/>
      <x:c r="H158" s="106" t="n"/>
    </x:row>
    <x:row r="159" s="116" customFormat="1" ht="15.75" customHeight="1">
      <x:c r="G159" s="106" t="n"/>
      <x:c r="H159" s="106" t="n"/>
    </x:row>
    <x:row r="160" s="116" customFormat="1" ht="15.75" customHeight="1">
      <x:c r="G160" s="106" t="n"/>
      <x:c r="H160" s="106" t="n"/>
    </x:row>
    <x:row r="161" s="116" customFormat="1" ht="15.75" customHeight="1">
      <x:c r="G161" s="106" t="n"/>
      <x:c r="H161" s="106" t="n"/>
    </x:row>
    <x:row r="162" s="116" customFormat="1" ht="15.75" customHeight="1">
      <x:c r="G162" s="106" t="n"/>
      <x:c r="H162" s="106" t="n"/>
    </x:row>
    <x:row r="163" s="116" customFormat="1" ht="15.75" customHeight="1">
      <x:c r="G163" s="106" t="n"/>
      <x:c r="H163" s="106" t="n"/>
    </x:row>
    <x:row r="164" s="116" customFormat="1" ht="15.75" customHeight="1">
      <x:c r="G164" s="106" t="n"/>
      <x:c r="H164" s="106" t="n"/>
    </x:row>
    <x:row r="165" s="116" customFormat="1" ht="15.75" customHeight="1">
      <x:c r="G165" s="106" t="n"/>
      <x:c r="H165" s="106" t="n"/>
    </x:row>
    <x:row r="166" s="116" customFormat="1" ht="15.75" customHeight="1">
      <x:c r="G166" s="106" t="n"/>
      <x:c r="H166" s="106" t="n"/>
    </x:row>
    <x:row r="167" s="116" customFormat="1" ht="15.75" customHeight="1">
      <x:c r="G167" s="106" t="n"/>
      <x:c r="H167" s="106" t="n"/>
    </x:row>
    <x:row r="168" s="116" customFormat="1" ht="15.75" customHeight="1">
      <x:c r="G168" s="106" t="n"/>
      <x:c r="H168" s="106" t="n"/>
    </x:row>
    <x:row r="169" s="116" customFormat="1" ht="15.75" customHeight="1">
      <x:c r="G169" s="106" t="n"/>
      <x:c r="H169" s="106" t="n"/>
    </x:row>
    <x:row r="170" s="116" customFormat="1" ht="15.75" customHeight="1">
      <x:c r="G170" s="106" t="n"/>
      <x:c r="H170" s="106" t="n"/>
    </x:row>
    <x:row r="171" s="116" customFormat="1" ht="15.75" customHeight="1">
      <x:c r="G171" s="106" t="n"/>
      <x:c r="H171" s="106" t="n"/>
    </x:row>
    <x:row r="172" s="116" customFormat="1" ht="15.75" customHeight="1">
      <x:c r="G172" s="106" t="n"/>
      <x:c r="H172" s="106" t="n"/>
    </x:row>
    <x:row r="173" s="116" customFormat="1" ht="15.75" customHeight="1">
      <x:c r="G173" s="106" t="n"/>
      <x:c r="H173" s="106" t="n"/>
    </x:row>
    <x:row r="174" s="116" customFormat="1" ht="15.75" customHeight="1">
      <x:c r="G174" s="106" t="n"/>
      <x:c r="H174" s="106" t="n"/>
    </x:row>
    <x:row r="175" s="116" customFormat="1" ht="15.75" customHeight="1">
      <x:c r="G175" s="106" t="n"/>
      <x:c r="H175" s="106" t="n"/>
    </x:row>
    <x:row r="176" s="116" customFormat="1" ht="15.75" customHeight="1">
      <x:c r="G176" s="106" t="n"/>
      <x:c r="H176" s="106" t="n"/>
    </x:row>
    <x:row r="177" s="116" customFormat="1" ht="15.75" customHeight="1">
      <x:c r="G177" s="106" t="n"/>
      <x:c r="H177" s="106" t="n"/>
    </x:row>
    <x:row r="178" s="116" customFormat="1" ht="15.75" customHeight="1">
      <x:c r="G178" s="106" t="n"/>
      <x:c r="H178" s="106" t="n"/>
    </x:row>
    <x:row r="179" s="116" customFormat="1" ht="15.75" customHeight="1">
      <x:c r="G179" s="106" t="n"/>
      <x:c r="H179" s="106" t="n"/>
    </x:row>
    <x:row r="180" s="116" customFormat="1" ht="15.75" customHeight="1">
      <x:c r="G180" s="106" t="n"/>
      <x:c r="H180" s="106" t="n"/>
    </x:row>
    <x:row r="181" s="116" customFormat="1" ht="15.75" customHeight="1">
      <x:c r="G181" s="106" t="n"/>
      <x:c r="H181" s="106" t="n"/>
    </x:row>
    <x:row r="182" s="116" customFormat="1" ht="15.75" customHeight="1">
      <x:c r="G182" s="106" t="n"/>
      <x:c r="H182" s="106" t="n"/>
    </x:row>
    <x:row r="183" s="116" customFormat="1" ht="15.75" customHeight="1">
      <x:c r="G183" s="106" t="n"/>
      <x:c r="H183" s="106" t="n"/>
    </x:row>
    <x:row r="184" s="116" customFormat="1" ht="15.75" customHeight="1">
      <x:c r="G184" s="106" t="n"/>
      <x:c r="H184" s="106" t="n"/>
    </x:row>
    <x:row r="185" s="116" customFormat="1" ht="15.75" customHeight="1">
      <x:c r="G185" s="106" t="n"/>
      <x:c r="H185" s="106" t="n"/>
    </x:row>
    <x:row r="186" s="116" customFormat="1" ht="15.75" customHeight="1">
      <x:c r="G186" s="106" t="n"/>
      <x:c r="H186" s="106" t="n"/>
    </x:row>
    <x:row r="187" s="116" customFormat="1" ht="15.75" customHeight="1">
      <x:c r="G187" s="106" t="n"/>
      <x:c r="H187" s="106" t="n"/>
    </x:row>
    <x:row r="188" s="116" customFormat="1" ht="15.75" customHeight="1">
      <x:c r="G188" s="106" t="n"/>
      <x:c r="H188" s="106" t="n"/>
    </x:row>
    <x:row r="189" s="116" customFormat="1" ht="15.75" customHeight="1">
      <x:c r="G189" s="106" t="n"/>
      <x:c r="H189" s="106" t="n"/>
    </x:row>
    <x:row r="190" s="116" customFormat="1" ht="15.75" customHeight="1">
      <x:c r="G190" s="106" t="n"/>
      <x:c r="H190" s="106" t="n"/>
    </x:row>
    <x:row r="191" s="116" customFormat="1" ht="15.75" customHeight="1">
      <x:c r="G191" s="106" t="n"/>
      <x:c r="H191" s="106" t="n"/>
    </x:row>
    <x:row r="192" s="116" customFormat="1" ht="15.75" customHeight="1">
      <x:c r="G192" s="106" t="n"/>
      <x:c r="H192" s="106" t="n"/>
    </x:row>
    <x:row r="193" s="116" customFormat="1" ht="15.75" customHeight="1">
      <x:c r="G193" s="106" t="n"/>
      <x:c r="H193" s="106" t="n"/>
    </x:row>
    <x:row r="194" s="116" customFormat="1" ht="15.75" customHeight="1">
      <x:c r="G194" s="106" t="n"/>
      <x:c r="H194" s="106" t="n"/>
    </x:row>
    <x:row r="195" s="116" customFormat="1" ht="15.75" customHeight="1">
      <x:c r="G195" s="106" t="n"/>
      <x:c r="H195" s="106" t="n"/>
    </x:row>
    <x:row r="196" s="116" customFormat="1" ht="15.75" customHeight="1">
      <x:c r="G196" s="106" t="n"/>
      <x:c r="H196" s="106" t="n"/>
    </x:row>
    <x:row r="197" s="116" customFormat="1" ht="15.75" customHeight="1">
      <x:c r="G197" s="106" t="n"/>
      <x:c r="H197" s="106" t="n"/>
    </x:row>
    <x:row r="198" s="116" customFormat="1" ht="15.75" customHeight="1">
      <x:c r="G198" s="106" t="n"/>
      <x:c r="H198" s="106" t="n"/>
    </x:row>
    <x:row r="199" s="116" customFormat="1" ht="15.75" customHeight="1">
      <x:c r="G199" s="106" t="n"/>
      <x:c r="H199" s="106" t="n"/>
    </x:row>
    <x:row r="200" s="116" customFormat="1" ht="15.75" customHeight="1">
      <x:c r="G200" s="106" t="n"/>
      <x:c r="H200" s="106" t="n"/>
    </x:row>
    <x:row r="201" s="116" customFormat="1" ht="15.75" customHeight="1">
      <x:c r="G201" s="106" t="n"/>
      <x:c r="H201" s="106" t="n"/>
    </x:row>
    <x:row r="202" s="116" customFormat="1" ht="15.75" customHeight="1">
      <x:c r="G202" s="106" t="n"/>
      <x:c r="H202" s="106" t="n"/>
    </x:row>
    <x:row r="203" s="116" customFormat="1" ht="15.75" customHeight="1">
      <x:c r="G203" s="106" t="n"/>
      <x:c r="H203" s="106" t="n"/>
    </x:row>
    <x:row r="204" s="116" customFormat="1" ht="15.75" customHeight="1">
      <x:c r="G204" s="106" t="n"/>
      <x:c r="H204" s="106" t="n"/>
    </x:row>
    <x:row r="205" s="116" customFormat="1" ht="15.75" customHeight="1">
      <x:c r="G205" s="106" t="n"/>
      <x:c r="H205" s="106" t="n"/>
    </x:row>
    <x:row r="206" s="116" customFormat="1" ht="15.75" customHeight="1">
      <x:c r="G206" s="106" t="n"/>
      <x:c r="H206" s="106" t="n"/>
    </x:row>
    <x:row r="207" s="116" customFormat="1" ht="15.75" customHeight="1">
      <x:c r="G207" s="106" t="n"/>
      <x:c r="H207" s="106" t="n"/>
    </x:row>
    <x:row r="208" s="116" customFormat="1" ht="15.75" customHeight="1">
      <x:c r="G208" s="106" t="n"/>
      <x:c r="H208" s="106" t="n"/>
    </x:row>
    <x:row r="209" s="116" customFormat="1" ht="15.75" customHeight="1">
      <x:c r="G209" s="106" t="n"/>
      <x:c r="H209" s="106" t="n"/>
    </x:row>
    <x:row r="210" s="116" customFormat="1" ht="15.75" customHeight="1">
      <x:c r="G210" s="106" t="n"/>
      <x:c r="H210" s="106" t="n"/>
    </x:row>
    <x:row r="211" s="116" customFormat="1" ht="15.75" customHeight="1">
      <x:c r="G211" s="106" t="n"/>
      <x:c r="H211" s="106" t="n"/>
    </x:row>
    <x:row r="212" s="116" customFormat="1" ht="15.75" customHeight="1">
      <x:c r="G212" s="106" t="n"/>
      <x:c r="H212" s="106" t="n"/>
    </x:row>
    <x:row r="213" s="116" customFormat="1" ht="15.75" customHeight="1">
      <x:c r="G213" s="106" t="n"/>
      <x:c r="H213" s="106" t="n"/>
    </x:row>
    <x:row r="214" s="116" customFormat="1" ht="15.75" customHeight="1">
      <x:c r="G214" s="106" t="n"/>
      <x:c r="H214" s="106" t="n"/>
    </x:row>
    <x:row r="215" s="116" customFormat="1" ht="15.75" customHeight="1">
      <x:c r="G215" s="106" t="n"/>
      <x:c r="H215" s="106" t="n"/>
    </x:row>
    <x:row r="216" s="116" customFormat="1" ht="15.75" customHeight="1">
      <x:c r="G216" s="106" t="n"/>
      <x:c r="H216" s="106" t="n"/>
    </x:row>
    <x:row r="217" s="116" customFormat="1" ht="15.75" customHeight="1">
      <x:c r="G217" s="106" t="n"/>
      <x:c r="H217" s="106" t="n"/>
    </x:row>
    <x:row r="218" s="116" customFormat="1" ht="15.75" customHeight="1">
      <x:c r="G218" s="106" t="n"/>
      <x:c r="H218" s="106" t="n"/>
    </x:row>
    <x:row r="219" s="116" customFormat="1" ht="15.75" customHeight="1">
      <x:c r="G219" s="106" t="n"/>
      <x:c r="H219" s="106" t="n"/>
    </x:row>
    <x:row r="220" s="116" customFormat="1" ht="15.75" customHeight="1">
      <x:c r="G220" s="106" t="n"/>
      <x:c r="H220" s="106" t="n"/>
    </x:row>
    <x:row r="221" s="116" customFormat="1" ht="15.75" customHeight="1">
      <x:c r="G221" s="106" t="n"/>
      <x:c r="H221" s="106" t="n"/>
    </x:row>
    <x:row r="222" s="116" customFormat="1" ht="15.75" customHeight="1">
      <x:c r="G222" s="106" t="n"/>
      <x:c r="H222" s="106" t="n"/>
    </x:row>
    <x:row r="223" s="116" customFormat="1" ht="15.75" customHeight="1">
      <x:c r="G223" s="106" t="n"/>
      <x:c r="H223" s="106" t="n"/>
    </x:row>
    <x:row r="224" s="116" customFormat="1" ht="15.75" customHeight="1">
      <x:c r="G224" s="106" t="n"/>
      <x:c r="H224" s="106" t="n"/>
    </x:row>
    <x:row r="225" s="116" customFormat="1" ht="15.75" customHeight="1">
      <x:c r="G225" s="106" t="n"/>
      <x:c r="H225" s="106" t="n"/>
    </x:row>
    <x:row r="226" s="116" customFormat="1" ht="15.75" customHeight="1">
      <x:c r="G226" s="106" t="n"/>
      <x:c r="H226" s="106" t="n"/>
    </x:row>
    <x:row r="227" s="116" customFormat="1" ht="15.75" customHeight="1">
      <x:c r="G227" s="106" t="n"/>
      <x:c r="H227" s="106" t="n"/>
    </x:row>
    <x:row r="228" s="116" customFormat="1" ht="15.75" customHeight="1">
      <x:c r="G228" s="106" t="n"/>
      <x:c r="H228" s="106" t="n"/>
    </x:row>
    <x:row r="229" s="116" customFormat="1" ht="15.75" customHeight="1">
      <x:c r="G229" s="106" t="n"/>
      <x:c r="H229" s="106" t="n"/>
    </x:row>
    <x:row r="230" s="116" customFormat="1" ht="15.75" customHeight="1">
      <x:c r="G230" s="106" t="n"/>
      <x:c r="H230" s="106" t="n"/>
    </x:row>
    <x:row r="231" s="116" customFormat="1" ht="15.75" customHeight="1">
      <x:c r="G231" s="106" t="n"/>
      <x:c r="H231" s="106" t="n"/>
    </x:row>
    <x:row r="232" s="116" customFormat="1" ht="15.75" customHeight="1">
      <x:c r="G232" s="106" t="n"/>
      <x:c r="H232" s="106" t="n"/>
    </x:row>
    <x:row r="233" s="116" customFormat="1" ht="15.75" customHeight="1">
      <x:c r="G233" s="106" t="n"/>
      <x:c r="H233" s="106" t="n"/>
    </x:row>
    <x:row r="234" s="116" customFormat="1" ht="15.75" customHeight="1">
      <x:c r="G234" s="106" t="n"/>
      <x:c r="H234" s="106" t="n"/>
    </x:row>
    <x:row r="235" s="116" customFormat="1" ht="15.75" customHeight="1">
      <x:c r="G235" s="106" t="n"/>
      <x:c r="H235" s="106" t="n"/>
    </x:row>
    <x:row r="236" s="116" customFormat="1" ht="15.75" customHeight="1">
      <x:c r="G236" s="106" t="n"/>
      <x:c r="H236" s="106" t="n"/>
    </x:row>
    <x:row r="237" s="116" customFormat="1" ht="15.75" customHeight="1">
      <x:c r="G237" s="106" t="n"/>
      <x:c r="H237" s="106" t="n"/>
    </x:row>
    <x:row r="238" s="116" customFormat="1" ht="15.75" customHeight="1">
      <x:c r="G238" s="106" t="n"/>
      <x:c r="H238" s="106" t="n"/>
    </x:row>
    <x:row r="239" s="116" customFormat="1" ht="15.75" customHeight="1">
      <x:c r="G239" s="106" t="n"/>
      <x:c r="H239" s="106" t="n"/>
    </x:row>
    <x:row r="240" s="116" customFormat="1" ht="15.75" customHeight="1">
      <x:c r="G240" s="106" t="n"/>
      <x:c r="H240" s="106" t="n"/>
    </x:row>
    <x:row r="241" s="116" customFormat="1" ht="15.75" customHeight="1">
      <x:c r="G241" s="106" t="n"/>
      <x:c r="H241" s="106" t="n"/>
    </x:row>
    <x:row r="242" s="116" customFormat="1" ht="15.75" customHeight="1">
      <x:c r="G242" s="106" t="n"/>
      <x:c r="H242" s="106" t="n"/>
    </x:row>
    <x:row r="243" s="116" customFormat="1" ht="15.75" customHeight="1">
      <x:c r="G243" s="106" t="n"/>
      <x:c r="H243" s="106" t="n"/>
    </x:row>
    <x:row r="244" s="116" customFormat="1" ht="15.75" customHeight="1">
      <x:c r="G244" s="106" t="n"/>
      <x:c r="H244" s="106" t="n"/>
    </x:row>
    <x:row r="245" s="116" customFormat="1" ht="15.75" customHeight="1">
      <x:c r="G245" s="106" t="n"/>
      <x:c r="H245" s="106" t="n"/>
    </x:row>
    <x:row r="246" s="116" customFormat="1" ht="15.75" customHeight="1">
      <x:c r="G246" s="106" t="n"/>
      <x:c r="H246" s="106" t="n"/>
    </x:row>
    <x:row r="247" s="116" customFormat="1" ht="15.75" customHeight="1">
      <x:c r="G247" s="106" t="n"/>
      <x:c r="H247" s="106" t="n"/>
    </x:row>
    <x:row r="248" s="116" customFormat="1" ht="15.75" customHeight="1">
      <x:c r="G248" s="106" t="n"/>
      <x:c r="H248" s="106" t="n"/>
    </x:row>
    <x:row r="249" s="116" customFormat="1" ht="15.75" customHeight="1">
      <x:c r="G249" s="106" t="n"/>
      <x:c r="H249" s="106" t="n"/>
    </x:row>
    <x:row r="250" s="116" customFormat="1" ht="15.75" customHeight="1">
      <x:c r="G250" s="106" t="n"/>
      <x:c r="H250" s="106" t="n"/>
    </x:row>
    <x:row r="251" s="116" customFormat="1" ht="15.75" customHeight="1">
      <x:c r="G251" s="106" t="n"/>
      <x:c r="H251" s="106" t="n"/>
    </x:row>
    <x:row r="252" s="116" customFormat="1" ht="15.75" customHeight="1">
      <x:c r="G252" s="106" t="n"/>
      <x:c r="H252" s="106" t="n"/>
    </x:row>
    <x:row r="253" s="116" customFormat="1" ht="15.75" customHeight="1">
      <x:c r="G253" s="106" t="n"/>
      <x:c r="H253" s="106" t="n"/>
    </x:row>
    <x:row r="254" s="116" customFormat="1" ht="15.75" customHeight="1">
      <x:c r="G254" s="106" t="n"/>
      <x:c r="H254" s="106" t="n"/>
    </x:row>
    <x:row r="255" s="116" customFormat="1" ht="15.75" customHeight="1">
      <x:c r="G255" s="106" t="n"/>
      <x:c r="H255" s="106" t="n"/>
    </x:row>
    <x:row r="256" s="116" customFormat="1" ht="15.75" customHeight="1">
      <x:c r="G256" s="106" t="n"/>
      <x:c r="H256" s="106" t="n"/>
    </x:row>
    <x:row r="257" s="116" customFormat="1" ht="15.75" customHeight="1">
      <x:c r="G257" s="106" t="n"/>
      <x:c r="H257" s="106" t="n"/>
    </x:row>
    <x:row r="258" s="116" customFormat="1" ht="15.75" customHeight="1">
      <x:c r="G258" s="106" t="n"/>
      <x:c r="H258" s="106" t="n"/>
    </x:row>
    <x:row r="259" s="116" customFormat="1" ht="15.75" customHeight="1">
      <x:c r="G259" s="106" t="n"/>
      <x:c r="H259" s="106" t="n"/>
    </x:row>
    <x:row r="260" s="116" customFormat="1" ht="15.75" customHeight="1">
      <x:c r="G260" s="106" t="n"/>
      <x:c r="H260" s="106" t="n"/>
    </x:row>
    <x:row r="261" s="116" customFormat="1" ht="15.75" customHeight="1">
      <x:c r="G261" s="106" t="n"/>
      <x:c r="H261" s="106" t="n"/>
    </x:row>
    <x:row r="262" s="116" customFormat="1" ht="15.75" customHeight="1">
      <x:c r="G262" s="106" t="n"/>
      <x:c r="H262" s="106" t="n"/>
    </x:row>
    <x:row r="263" s="116" customFormat="1" ht="15.75" customHeight="1">
      <x:c r="G263" s="106" t="n"/>
      <x:c r="H263" s="106" t="n"/>
    </x:row>
    <x:row r="264" s="116" customFormat="1" ht="15.75" customHeight="1">
      <x:c r="G264" s="106" t="n"/>
      <x:c r="H264" s="106" t="n"/>
    </x:row>
    <x:row r="265" s="116" customFormat="1" ht="15.75" customHeight="1">
      <x:c r="G265" s="106" t="n"/>
      <x:c r="H265" s="106" t="n"/>
    </x:row>
    <x:row r="266" s="116" customFormat="1" ht="15.75" customHeight="1">
      <x:c r="G266" s="106" t="n"/>
      <x:c r="H266" s="106" t="n"/>
    </x:row>
    <x:row r="267" s="116" customFormat="1" ht="15.75" customHeight="1">
      <x:c r="G267" s="106" t="n"/>
      <x:c r="H267" s="106" t="n"/>
    </x:row>
    <x:row r="268" s="116" customFormat="1" ht="15.75" customHeight="1">
      <x:c r="G268" s="106" t="n"/>
      <x:c r="H268" s="106" t="n"/>
    </x:row>
    <x:row r="269" s="116" customFormat="1" ht="15.75" customHeight="1">
      <x:c r="G269" s="106" t="n"/>
      <x:c r="H269" s="106" t="n"/>
    </x:row>
    <x:row r="270" s="116" customFormat="1" ht="15.75" customHeight="1">
      <x:c r="G270" s="106" t="n"/>
      <x:c r="H270" s="106" t="n"/>
    </x:row>
    <x:row r="271" s="116" customFormat="1" ht="15.75" customHeight="1">
      <x:c r="G271" s="106" t="n"/>
      <x:c r="H271" s="106" t="n"/>
    </x:row>
    <x:row r="272" s="116" customFormat="1" ht="15.75" customHeight="1">
      <x:c r="G272" s="106" t="n"/>
      <x:c r="H272" s="106" t="n"/>
    </x:row>
    <x:row r="273" s="116" customFormat="1" ht="15.75" customHeight="1">
      <x:c r="G273" s="106" t="n"/>
      <x:c r="H273" s="106" t="n"/>
    </x:row>
    <x:row r="274" s="116" customFormat="1" ht="15.75" customHeight="1">
      <x:c r="G274" s="106" t="n"/>
      <x:c r="H274" s="106" t="n"/>
    </x:row>
    <x:row r="275" s="116" customFormat="1" ht="15.75" customHeight="1">
      <x:c r="G275" s="106" t="n"/>
      <x:c r="H275" s="106" t="n"/>
    </x:row>
    <x:row r="276" s="116" customFormat="1" ht="15.75" customHeight="1">
      <x:c r="G276" s="106" t="n"/>
      <x:c r="H276" s="106" t="n"/>
    </x:row>
    <x:row r="277" s="116" customFormat="1" ht="15.75" customHeight="1">
      <x:c r="G277" s="106" t="n"/>
      <x:c r="H277" s="106" t="n"/>
    </x:row>
    <x:row r="278" s="116" customFormat="1" ht="15.75" customHeight="1">
      <x:c r="G278" s="106" t="n"/>
      <x:c r="H278" s="106" t="n"/>
    </x:row>
    <x:row r="279" s="116" customFormat="1" ht="15.75" customHeight="1">
      <x:c r="G279" s="106" t="n"/>
      <x:c r="H279" s="106" t="n"/>
    </x:row>
    <x:row r="280" s="116" customFormat="1" ht="15.75" customHeight="1">
      <x:c r="G280" s="106" t="n"/>
      <x:c r="H280" s="106" t="n"/>
    </x:row>
    <x:row r="281" s="116" customFormat="1" ht="15.75" customHeight="1">
      <x:c r="G281" s="106" t="n"/>
      <x:c r="H281" s="106" t="n"/>
    </x:row>
    <x:row r="282" s="116" customFormat="1" ht="15.75" customHeight="1">
      <x:c r="G282" s="106" t="n"/>
      <x:c r="H282" s="106" t="n"/>
    </x:row>
    <x:row r="283" s="116" customFormat="1" ht="15.75" customHeight="1">
      <x:c r="G283" s="106" t="n"/>
      <x:c r="H283" s="106" t="n"/>
    </x:row>
    <x:row r="284" s="116" customFormat="1" ht="15.75" customHeight="1">
      <x:c r="G284" s="106" t="n"/>
      <x:c r="H284" s="106" t="n"/>
    </x:row>
    <x:row r="285" s="116" customFormat="1" ht="15.75" customHeight="1">
      <x:c r="G285" s="106" t="n"/>
      <x:c r="H285" s="106" t="n"/>
    </x:row>
    <x:row r="286" s="116" customFormat="1" ht="15.75" customHeight="1">
      <x:c r="G286" s="106" t="n"/>
      <x:c r="H286" s="106" t="n"/>
    </x:row>
    <x:row r="287" s="116" customFormat="1" ht="15.75" customHeight="1">
      <x:c r="G287" s="106" t="n"/>
      <x:c r="H287" s="106" t="n"/>
    </x:row>
    <x:row r="288" s="116" customFormat="1" ht="15.75" customHeight="1">
      <x:c r="G288" s="106" t="n"/>
      <x:c r="H288" s="106" t="n"/>
    </x:row>
    <x:row r="289" s="116" customFormat="1" ht="15.75" customHeight="1">
      <x:c r="G289" s="106" t="n"/>
      <x:c r="H289" s="106" t="n"/>
    </x:row>
    <x:row r="290" s="116" customFormat="1" ht="15.75" customHeight="1">
      <x:c r="G290" s="106" t="n"/>
      <x:c r="H290" s="106" t="n"/>
    </x:row>
    <x:row r="291" s="116" customFormat="1" ht="15.75" customHeight="1">
      <x:c r="G291" s="106" t="n"/>
      <x:c r="H291" s="106" t="n"/>
    </x:row>
    <x:row r="292" s="116" customFormat="1" ht="15.75" customHeight="1">
      <x:c r="G292" s="106" t="n"/>
      <x:c r="H292" s="106" t="n"/>
    </x:row>
    <x:row r="293" s="116" customFormat="1" ht="15.75" customHeight="1">
      <x:c r="G293" s="106" t="n"/>
      <x:c r="H293" s="106" t="n"/>
    </x:row>
    <x:row r="294" s="116" customFormat="1" ht="15.75" customHeight="1">
      <x:c r="G294" s="106" t="n"/>
      <x:c r="H294" s="106" t="n"/>
    </x:row>
    <x:row r="295" s="116" customFormat="1" ht="15.75" customHeight="1">
      <x:c r="G295" s="106" t="n"/>
      <x:c r="H295" s="106" t="n"/>
    </x:row>
    <x:row r="296" s="116" customFormat="1" ht="15.75" customHeight="1">
      <x:c r="G296" s="106" t="n"/>
      <x:c r="H296" s="106" t="n"/>
    </x:row>
    <x:row r="297" s="116" customFormat="1" ht="15.75" customHeight="1">
      <x:c r="G297" s="106" t="n"/>
      <x:c r="H297" s="106" t="n"/>
    </x:row>
    <x:row r="298" s="116" customFormat="1" ht="15.75" customHeight="1">
      <x:c r="G298" s="106" t="n"/>
      <x:c r="H298" s="106" t="n"/>
    </x:row>
    <x:row r="299" s="116" customFormat="1" ht="15.75" customHeight="1">
      <x:c r="G299" s="106" t="n"/>
      <x:c r="H299" s="106" t="n"/>
    </x:row>
    <x:row r="300" s="116" customFormat="1" ht="15.75" customHeight="1">
      <x:c r="G300" s="106" t="n"/>
      <x:c r="H300" s="106" t="n"/>
    </x:row>
    <x:row r="301" s="116" customFormat="1" ht="15.75" customHeight="1">
      <x:c r="G301" s="106" t="n"/>
      <x:c r="H301" s="106" t="n"/>
    </x:row>
    <x:row r="302" s="116" customFormat="1" ht="15.75" customHeight="1">
      <x:c r="G302" s="106" t="n"/>
      <x:c r="H302" s="106" t="n"/>
    </x:row>
    <x:row r="303" s="116" customFormat="1" ht="15.75" customHeight="1">
      <x:c r="G303" s="106" t="n"/>
      <x:c r="H303" s="106" t="n"/>
    </x:row>
    <x:row r="304" s="116" customFormat="1" ht="15.75" customHeight="1">
      <x:c r="G304" s="106" t="n"/>
      <x:c r="H304" s="106" t="n"/>
    </x:row>
    <x:row r="305" s="116" customFormat="1" ht="15.75" customHeight="1">
      <x:c r="G305" s="106" t="n"/>
      <x:c r="H305" s="106" t="n"/>
    </x:row>
    <x:row r="306" s="116" customFormat="1" ht="15.75" customHeight="1">
      <x:c r="G306" s="106" t="n"/>
      <x:c r="H306" s="106" t="n"/>
    </x:row>
    <x:row r="307" s="116" customFormat="1" ht="15.75" customHeight="1">
      <x:c r="G307" s="106" t="n"/>
      <x:c r="H307" s="106" t="n"/>
    </x:row>
    <x:row r="308" s="116" customFormat="1" ht="15.75" customHeight="1">
      <x:c r="G308" s="106" t="n"/>
      <x:c r="H308" s="106" t="n"/>
    </x:row>
    <x:row r="309" s="116" customFormat="1" ht="15.75" customHeight="1">
      <x:c r="G309" s="106" t="n"/>
      <x:c r="H309" s="106" t="n"/>
    </x:row>
    <x:row r="310" s="116" customFormat="1" ht="15.75" customHeight="1">
      <x:c r="G310" s="106" t="n"/>
      <x:c r="H310" s="106" t="n"/>
    </x:row>
    <x:row r="311" s="116" customFormat="1" ht="15.75" customHeight="1">
      <x:c r="G311" s="106" t="n"/>
      <x:c r="H311" s="106" t="n"/>
    </x:row>
    <x:row r="312" s="116" customFormat="1" ht="15.75" customHeight="1">
      <x:c r="G312" s="106" t="n"/>
      <x:c r="H312" s="106" t="n"/>
    </x:row>
    <x:row r="313" s="116" customFormat="1" ht="15.75" customHeight="1">
      <x:c r="G313" s="106" t="n"/>
      <x:c r="H313" s="106" t="n"/>
    </x:row>
    <x:row r="314" s="116" customFormat="1" ht="15.75" customHeight="1">
      <x:c r="G314" s="106" t="n"/>
      <x:c r="H314" s="106" t="n"/>
    </x:row>
    <x:row r="315" s="116" customFormat="1" ht="15.75" customHeight="1">
      <x:c r="G315" s="106" t="n"/>
      <x:c r="H315" s="106" t="n"/>
    </x:row>
    <x:row r="316" s="116" customFormat="1" ht="15.75" customHeight="1">
      <x:c r="G316" s="106" t="n"/>
      <x:c r="H316" s="106" t="n"/>
    </x:row>
    <x:row r="317" s="116" customFormat="1" ht="15.75" customHeight="1">
      <x:c r="G317" s="106" t="n"/>
      <x:c r="H317" s="106" t="n"/>
    </x:row>
    <x:row r="318" s="116" customFormat="1" ht="15.75" customHeight="1">
      <x:c r="G318" s="106" t="n"/>
      <x:c r="H318" s="106" t="n"/>
    </x:row>
    <x:row r="319" s="116" customFormat="1" ht="15.75" customHeight="1">
      <x:c r="G319" s="106" t="n"/>
      <x:c r="H319" s="106" t="n"/>
    </x:row>
    <x:row r="320" s="116" customFormat="1" ht="15.75" customHeight="1">
      <x:c r="G320" s="106" t="n"/>
      <x:c r="H320" s="106" t="n"/>
    </x:row>
    <x:row r="321" s="116" customFormat="1" ht="15.75" customHeight="1">
      <x:c r="G321" s="106" t="n"/>
      <x:c r="H321" s="106" t="n"/>
    </x:row>
    <x:row r="322" s="116" customFormat="1" ht="15.75" customHeight="1">
      <x:c r="G322" s="106" t="n"/>
      <x:c r="H322" s="106" t="n"/>
    </x:row>
    <x:row r="323" s="116" customFormat="1" ht="15.75" customHeight="1">
      <x:c r="G323" s="106" t="n"/>
      <x:c r="H323" s="106" t="n"/>
    </x:row>
    <x:row r="324" s="116" customFormat="1" ht="15.75" customHeight="1">
      <x:c r="G324" s="106" t="n"/>
      <x:c r="H324" s="106" t="n"/>
    </x:row>
    <x:row r="325" s="116" customFormat="1" ht="15.75" customHeight="1">
      <x:c r="G325" s="106" t="n"/>
      <x:c r="H325" s="106" t="n"/>
    </x:row>
    <x:row r="326" s="116" customFormat="1" ht="15.75" customHeight="1">
      <x:c r="G326" s="106" t="n"/>
      <x:c r="H326" s="106" t="n"/>
    </x:row>
    <x:row r="327" s="116" customFormat="1" ht="15.75" customHeight="1">
      <x:c r="G327" s="106" t="n"/>
      <x:c r="H327" s="106" t="n"/>
    </x:row>
    <x:row r="328" s="116" customFormat="1" ht="15.75" customHeight="1">
      <x:c r="G328" s="106" t="n"/>
      <x:c r="H328" s="106" t="n"/>
    </x:row>
    <x:row r="329" s="116" customFormat="1" ht="15.75" customHeight="1">
      <x:c r="G329" s="106" t="n"/>
      <x:c r="H329" s="106" t="n"/>
    </x:row>
    <x:row r="330" s="116" customFormat="1" ht="15.75" customHeight="1">
      <x:c r="G330" s="106" t="n"/>
      <x:c r="H330" s="106" t="n"/>
    </x:row>
    <x:row r="331" s="116" customFormat="1" ht="15.75" customHeight="1">
      <x:c r="G331" s="106" t="n"/>
      <x:c r="H331" s="106" t="n"/>
    </x:row>
    <x:row r="332" s="116" customFormat="1" ht="15.75" customHeight="1">
      <x:c r="G332" s="106" t="n"/>
      <x:c r="H332" s="106" t="n"/>
    </x:row>
    <x:row r="333" s="116" customFormat="1" ht="15.75" customHeight="1">
      <x:c r="G333" s="106" t="n"/>
      <x:c r="H333" s="106" t="n"/>
    </x:row>
    <x:row r="334" s="116" customFormat="1" ht="15.75" customHeight="1">
      <x:c r="G334" s="106" t="n"/>
      <x:c r="H334" s="106" t="n"/>
    </x:row>
    <x:row r="335" s="116" customFormat="1" ht="15.75" customHeight="1">
      <x:c r="G335" s="106" t="n"/>
      <x:c r="H335" s="106" t="n"/>
    </x:row>
    <x:row r="336" s="116" customFormat="1" ht="15.75" customHeight="1">
      <x:c r="G336" s="106" t="n"/>
      <x:c r="H336" s="106" t="n"/>
    </x:row>
    <x:row r="337" s="116" customFormat="1" ht="15.75" customHeight="1">
      <x:c r="G337" s="106" t="n"/>
      <x:c r="H337" s="106" t="n"/>
    </x:row>
    <x:row r="338" s="116" customFormat="1" ht="15.75" customHeight="1">
      <x:c r="G338" s="106" t="n"/>
      <x:c r="H338" s="106" t="n"/>
    </x:row>
    <x:row r="339" s="116" customFormat="1" ht="15.75" customHeight="1">
      <x:c r="G339" s="106" t="n"/>
      <x:c r="H339" s="106" t="n"/>
    </x:row>
    <x:row r="340" s="116" customFormat="1" ht="15.75" customHeight="1">
      <x:c r="G340" s="106" t="n"/>
      <x:c r="H340" s="106" t="n"/>
    </x:row>
    <x:row r="341" s="116" customFormat="1" ht="15.75" customHeight="1">
      <x:c r="G341" s="106" t="n"/>
      <x:c r="H341" s="106" t="n"/>
    </x:row>
    <x:row r="342" s="116" customFormat="1" ht="15.75" customHeight="1">
      <x:c r="G342" s="106" t="n"/>
      <x:c r="H342" s="106" t="n"/>
    </x:row>
    <x:row r="343" s="116" customFormat="1" ht="15.75" customHeight="1">
      <x:c r="G343" s="106" t="n"/>
      <x:c r="H343" s="106" t="n"/>
    </x:row>
    <x:row r="344" s="116" customFormat="1" ht="15.75" customHeight="1">
      <x:c r="G344" s="106" t="n"/>
      <x:c r="H344" s="106" t="n"/>
    </x:row>
    <x:row r="345" s="116" customFormat="1" ht="15.75" customHeight="1">
      <x:c r="G345" s="106" t="n"/>
      <x:c r="H345" s="106" t="n"/>
    </x:row>
    <x:row r="346" s="116" customFormat="1" ht="15.75" customHeight="1">
      <x:c r="G346" s="106" t="n"/>
      <x:c r="H346" s="106" t="n"/>
    </x:row>
    <x:row r="347" s="116" customFormat="1" ht="15.75" customHeight="1">
      <x:c r="G347" s="106" t="n"/>
      <x:c r="H347" s="106" t="n"/>
    </x:row>
    <x:row r="348" s="116" customFormat="1" ht="15.75" customHeight="1">
      <x:c r="G348" s="106" t="n"/>
      <x:c r="H348" s="106" t="n"/>
    </x:row>
    <x:row r="349" s="116" customFormat="1" ht="15.75" customHeight="1">
      <x:c r="G349" s="106" t="n"/>
      <x:c r="H349" s="106" t="n"/>
    </x:row>
    <x:row r="350" s="116" customFormat="1" ht="15.75" customHeight="1">
      <x:c r="G350" s="106" t="n"/>
      <x:c r="H350" s="106" t="n"/>
    </x:row>
    <x:row r="351" s="116" customFormat="1" ht="15.75" customHeight="1">
      <x:c r="G351" s="106" t="n"/>
      <x:c r="H351" s="106" t="n"/>
    </x:row>
    <x:row r="352" s="116" customFormat="1" ht="15.75" customHeight="1">
      <x:c r="G352" s="106" t="n"/>
      <x:c r="H352" s="106" t="n"/>
    </x:row>
    <x:row r="353" s="116" customFormat="1" ht="15.75" customHeight="1">
      <x:c r="G353" s="106" t="n"/>
      <x:c r="H353" s="106" t="n"/>
    </x:row>
    <x:row r="354" s="116" customFormat="1" ht="15.75" customHeight="1">
      <x:c r="G354" s="106" t="n"/>
      <x:c r="H354" s="106" t="n"/>
    </x:row>
    <x:row r="355" s="116" customFormat="1" ht="15.75" customHeight="1">
      <x:c r="G355" s="106" t="n"/>
      <x:c r="H355" s="106" t="n"/>
    </x:row>
    <x:row r="356" s="116" customFormat="1" ht="15.75" customHeight="1">
      <x:c r="G356" s="106" t="n"/>
      <x:c r="H356" s="106" t="n"/>
    </x:row>
    <x:row r="357" s="116" customFormat="1" ht="15.75" customHeight="1">
      <x:c r="G357" s="106" t="n"/>
      <x:c r="H357" s="106" t="n"/>
    </x:row>
    <x:row r="358" s="116" customFormat="1" ht="15.75" customHeight="1">
      <x:c r="G358" s="106" t="n"/>
      <x:c r="H358" s="106" t="n"/>
    </x:row>
    <x:row r="359" s="116" customFormat="1" ht="15.75" customHeight="1">
      <x:c r="G359" s="106" t="n"/>
      <x:c r="H359" s="106" t="n"/>
    </x:row>
    <x:row r="360" s="116" customFormat="1" ht="15.75" customHeight="1">
      <x:c r="G360" s="106" t="n"/>
      <x:c r="H360" s="106" t="n"/>
    </x:row>
    <x:row r="361" s="116" customFormat="1" ht="15.75" customHeight="1">
      <x:c r="G361" s="106" t="n"/>
      <x:c r="H361" s="106" t="n"/>
    </x:row>
    <x:row r="362" s="116" customFormat="1" ht="15.75" customHeight="1">
      <x:c r="G362" s="106" t="n"/>
      <x:c r="H362" s="106" t="n"/>
    </x:row>
    <x:row r="363" s="116" customFormat="1" ht="15.75" customHeight="1">
      <x:c r="G363" s="106" t="n"/>
      <x:c r="H363" s="106" t="n"/>
    </x:row>
    <x:row r="364" s="116" customFormat="1" ht="15.75" customHeight="1">
      <x:c r="G364" s="106" t="n"/>
      <x:c r="H364" s="106" t="n"/>
    </x:row>
    <x:row r="365" s="116" customFormat="1" ht="15.75" customHeight="1">
      <x:c r="G365" s="106" t="n"/>
      <x:c r="H365" s="106" t="n"/>
    </x:row>
    <x:row r="366" s="116" customFormat="1" ht="15.75" customHeight="1">
      <x:c r="G366" s="106" t="n"/>
      <x:c r="H366" s="106" t="n"/>
    </x:row>
    <x:row r="367" s="116" customFormat="1" ht="15.75" customHeight="1">
      <x:c r="G367" s="106" t="n"/>
      <x:c r="H367" s="106" t="n"/>
    </x:row>
    <x:row r="368" s="116" customFormat="1" ht="15.75" customHeight="1">
      <x:c r="G368" s="106" t="n"/>
      <x:c r="H368" s="106" t="n"/>
    </x:row>
    <x:row r="369" s="116" customFormat="1" ht="15.75" customHeight="1">
      <x:c r="G369" s="106" t="n"/>
      <x:c r="H369" s="106" t="n"/>
    </x:row>
    <x:row r="370" s="116" customFormat="1" ht="15.75" customHeight="1">
      <x:c r="G370" s="106" t="n"/>
      <x:c r="H370" s="106" t="n"/>
    </x:row>
    <x:row r="371" s="116" customFormat="1" ht="15.75" customHeight="1">
      <x:c r="G371" s="106" t="n"/>
      <x:c r="H371" s="106" t="n"/>
    </x:row>
    <x:row r="372" s="116" customFormat="1" ht="15.75" customHeight="1">
      <x:c r="G372" s="106" t="n"/>
      <x:c r="H372" s="106" t="n"/>
    </x:row>
    <x:row r="373" s="116" customFormat="1" ht="15.75" customHeight="1">
      <x:c r="G373" s="106" t="n"/>
      <x:c r="H373" s="106" t="n"/>
    </x:row>
    <x:row r="374" s="116" customFormat="1" ht="15.75" customHeight="1">
      <x:c r="G374" s="106" t="n"/>
      <x:c r="H374" s="106" t="n"/>
    </x:row>
    <x:row r="375" s="116" customFormat="1" ht="15.75" customHeight="1">
      <x:c r="G375" s="106" t="n"/>
      <x:c r="H375" s="106" t="n"/>
    </x:row>
    <x:row r="376" s="116" customFormat="1" ht="15.75" customHeight="1">
      <x:c r="G376" s="106" t="n"/>
      <x:c r="H376" s="106" t="n"/>
    </x:row>
    <x:row r="377" s="116" customFormat="1" ht="15.75" customHeight="1">
      <x:c r="G377" s="106" t="n"/>
      <x:c r="H377" s="106" t="n"/>
    </x:row>
    <x:row r="378" s="116" customFormat="1" ht="15.75" customHeight="1">
      <x:c r="G378" s="106" t="n"/>
      <x:c r="H378" s="106" t="n"/>
    </x:row>
    <x:row r="379" s="116" customFormat="1" ht="15.75" customHeight="1">
      <x:c r="G379" s="106" t="n"/>
      <x:c r="H379" s="106" t="n"/>
    </x:row>
    <x:row r="380" s="116" customFormat="1" ht="15.75" customHeight="1">
      <x:c r="G380" s="106" t="n"/>
      <x:c r="H380" s="106" t="n"/>
    </x:row>
    <x:row r="381" s="116" customFormat="1" ht="15.75" customHeight="1">
      <x:c r="G381" s="106" t="n"/>
      <x:c r="H381" s="106" t="n"/>
    </x:row>
    <x:row r="382" s="116" customFormat="1" ht="15.75" customHeight="1">
      <x:c r="G382" s="106" t="n"/>
      <x:c r="H382" s="106" t="n"/>
    </x:row>
    <x:row r="383" s="116" customFormat="1" ht="15.75" customHeight="1">
      <x:c r="G383" s="106" t="n"/>
      <x:c r="H383" s="106" t="n"/>
    </x:row>
    <x:row r="384" s="116" customFormat="1" ht="15.75" customHeight="1">
      <x:c r="G384" s="106" t="n"/>
      <x:c r="H384" s="106" t="n"/>
    </x:row>
    <x:row r="385" s="116" customFormat="1" ht="15.75" customHeight="1">
      <x:c r="G385" s="106" t="n"/>
      <x:c r="H385" s="106" t="n"/>
    </x:row>
    <x:row r="386" s="116" customFormat="1" ht="15.75" customHeight="1">
      <x:c r="G386" s="106" t="n"/>
      <x:c r="H386" s="106" t="n"/>
    </x:row>
    <x:row r="387" s="116" customFormat="1" ht="15.75" customHeight="1">
      <x:c r="G387" s="106" t="n"/>
      <x:c r="H387" s="106" t="n"/>
    </x:row>
    <x:row r="388" s="116" customFormat="1" ht="15.75" customHeight="1">
      <x:c r="G388" s="106" t="n"/>
      <x:c r="H388" s="106" t="n"/>
    </x:row>
    <x:row r="389" s="116" customFormat="1" ht="15.75" customHeight="1">
      <x:c r="G389" s="106" t="n"/>
      <x:c r="H389" s="106" t="n"/>
    </x:row>
    <x:row r="390" s="116" customFormat="1" ht="15.75" customHeight="1">
      <x:c r="G390" s="106" t="n"/>
      <x:c r="H390" s="106" t="n"/>
    </x:row>
    <x:row r="391" s="116" customFormat="1" ht="15.75" customHeight="1">
      <x:c r="G391" s="106" t="n"/>
      <x:c r="H391" s="106" t="n"/>
    </x:row>
    <x:row r="392" s="116" customFormat="1" ht="15.75" customHeight="1">
      <x:c r="G392" s="106" t="n"/>
      <x:c r="H392" s="106" t="n"/>
    </x:row>
    <x:row r="393" s="116" customFormat="1" ht="15.75" customHeight="1">
      <x:c r="G393" s="106" t="n"/>
      <x:c r="H393" s="106" t="n"/>
    </x:row>
    <x:row r="394" s="116" customFormat="1" ht="15.75" customHeight="1">
      <x:c r="G394" s="106" t="n"/>
      <x:c r="H394" s="106" t="n"/>
    </x:row>
    <x:row r="395" s="116" customFormat="1" ht="15.75" customHeight="1">
      <x:c r="G395" s="106" t="n"/>
      <x:c r="H395" s="106" t="n"/>
    </x:row>
    <x:row r="396" s="116" customFormat="1" ht="15.75" customHeight="1">
      <x:c r="G396" s="106" t="n"/>
      <x:c r="H396" s="106" t="n"/>
    </x:row>
    <x:row r="397" s="116" customFormat="1" ht="15.75" customHeight="1">
      <x:c r="G397" s="106" t="n"/>
      <x:c r="H397" s="106" t="n"/>
    </x:row>
    <x:row r="398" s="116" customFormat="1" ht="15.75" customHeight="1">
      <x:c r="G398" s="106" t="n"/>
      <x:c r="H398" s="106" t="n"/>
    </x:row>
    <x:row r="399" s="116" customFormat="1" ht="15.75" customHeight="1">
      <x:c r="G399" s="106" t="n"/>
      <x:c r="H399" s="106" t="n"/>
    </x:row>
    <x:row r="400" s="116" customFormat="1" ht="15.75" customHeight="1">
      <x:c r="G400" s="106" t="n"/>
      <x:c r="H400" s="106" t="n"/>
    </x:row>
    <x:row r="401" s="116" customFormat="1" ht="15.75" customHeight="1">
      <x:c r="G401" s="106" t="n"/>
      <x:c r="H401" s="106" t="n"/>
    </x:row>
    <x:row r="402" s="116" customFormat="1" ht="15.75" customHeight="1">
      <x:c r="G402" s="106" t="n"/>
      <x:c r="H402" s="106" t="n"/>
    </x:row>
    <x:row r="403" s="116" customFormat="1" ht="15.75" customHeight="1">
      <x:c r="G403" s="106" t="n"/>
      <x:c r="H403" s="106" t="n"/>
    </x:row>
    <x:row r="404" s="116" customFormat="1" ht="15.75" customHeight="1">
      <x:c r="G404" s="106" t="n"/>
      <x:c r="H404" s="106" t="n"/>
    </x:row>
    <x:row r="405" s="116" customFormat="1" ht="15.75" customHeight="1">
      <x:c r="G405" s="106" t="n"/>
      <x:c r="H405" s="106" t="n"/>
    </x:row>
    <x:row r="406" s="116" customFormat="1" ht="15.75" customHeight="1">
      <x:c r="G406" s="106" t="n"/>
      <x:c r="H406" s="106" t="n"/>
    </x:row>
    <x:row r="407" s="116" customFormat="1" ht="15.75" customHeight="1">
      <x:c r="G407" s="106" t="n"/>
      <x:c r="H407" s="106" t="n"/>
    </x:row>
    <x:row r="408" s="116" customFormat="1" ht="15.75" customHeight="1">
      <x:c r="G408" s="106" t="n"/>
      <x:c r="H408" s="106" t="n"/>
    </x:row>
    <x:row r="409" s="116" customFormat="1" ht="15.75" customHeight="1">
      <x:c r="G409" s="106" t="n"/>
      <x:c r="H409" s="106" t="n"/>
    </x:row>
    <x:row r="410" s="116" customFormat="1" ht="15.75" customHeight="1">
      <x:c r="G410" s="106" t="n"/>
      <x:c r="H410" s="106" t="n"/>
    </x:row>
    <x:row r="411" s="116" customFormat="1" ht="15.75" customHeight="1">
      <x:c r="G411" s="106" t="n"/>
      <x:c r="H411" s="106" t="n"/>
    </x:row>
    <x:row r="412" s="116" customFormat="1" ht="15.75" customHeight="1">
      <x:c r="G412" s="106" t="n"/>
      <x:c r="H412" s="106" t="n"/>
    </x:row>
    <x:row r="413" s="116" customFormat="1" ht="15.75" customHeight="1">
      <x:c r="G413" s="106" t="n"/>
      <x:c r="H413" s="106" t="n"/>
    </x:row>
    <x:row r="414" s="116" customFormat="1" ht="15.75" customHeight="1">
      <x:c r="G414" s="106" t="n"/>
      <x:c r="H414" s="106" t="n"/>
    </x:row>
    <x:row r="415" s="116" customFormat="1" ht="15.75" customHeight="1">
      <x:c r="G415" s="106" t="n"/>
      <x:c r="H415" s="106" t="n"/>
    </x:row>
    <x:row r="416" s="116" customFormat="1" ht="15.75" customHeight="1">
      <x:c r="G416" s="106" t="n"/>
      <x:c r="H416" s="106" t="n"/>
    </x:row>
    <x:row r="417" s="116" customFormat="1" ht="15.75" customHeight="1">
      <x:c r="G417" s="106" t="n"/>
      <x:c r="H417" s="106" t="n"/>
    </x:row>
    <x:row r="418" s="116" customFormat="1" ht="15.75" customHeight="1">
      <x:c r="G418" s="106" t="n"/>
      <x:c r="H418" s="106" t="n"/>
    </x:row>
    <x:row r="419" s="116" customFormat="1" ht="15.75" customHeight="1">
      <x:c r="G419" s="106" t="n"/>
      <x:c r="H419" s="106" t="n"/>
    </x:row>
    <x:row r="420" s="116" customFormat="1" ht="15.75" customHeight="1">
      <x:c r="G420" s="106" t="n"/>
      <x:c r="H420" s="106" t="n"/>
    </x:row>
    <x:row r="421" s="116" customFormat="1" ht="15.75" customHeight="1">
      <x:c r="G421" s="106" t="n"/>
      <x:c r="H421" s="106" t="n"/>
    </x:row>
    <x:row r="422" s="116" customFormat="1" ht="15.75" customHeight="1">
      <x:c r="G422" s="106" t="n"/>
      <x:c r="H422" s="106" t="n"/>
    </x:row>
    <x:row r="423" s="116" customFormat="1" ht="15.75" customHeight="1">
      <x:c r="G423" s="106" t="n"/>
      <x:c r="H423" s="106" t="n"/>
    </x:row>
    <x:row r="424" s="116" customFormat="1" ht="15.75" customHeight="1">
      <x:c r="G424" s="106" t="n"/>
      <x:c r="H424" s="106" t="n"/>
    </x:row>
    <x:row r="425" s="116" customFormat="1" ht="15.75" customHeight="1">
      <x:c r="G425" s="106" t="n"/>
      <x:c r="H425" s="106" t="n"/>
    </x:row>
    <x:row r="426" s="116" customFormat="1" ht="15.75" customHeight="1">
      <x:c r="G426" s="106" t="n"/>
      <x:c r="H426" s="106" t="n"/>
    </x:row>
    <x:row r="427" s="116" customFormat="1" ht="15.75" customHeight="1">
      <x:c r="G427" s="106" t="n"/>
      <x:c r="H427" s="106" t="n"/>
    </x:row>
    <x:row r="428" s="116" customFormat="1" ht="15.75" customHeight="1">
      <x:c r="G428" s="106" t="n"/>
      <x:c r="H428" s="106" t="n"/>
    </x:row>
    <x:row r="429" s="116" customFormat="1" ht="15.75" customHeight="1">
      <x:c r="G429" s="106" t="n"/>
      <x:c r="H429" s="106" t="n"/>
    </x:row>
    <x:row r="430" s="116" customFormat="1" ht="15.75" customHeight="1">
      <x:c r="G430" s="106" t="n"/>
      <x:c r="H430" s="106" t="n"/>
    </x:row>
    <x:row r="431" s="116" customFormat="1" ht="15.75" customHeight="1">
      <x:c r="G431" s="106" t="n"/>
      <x:c r="H431" s="106" t="n"/>
    </x:row>
    <x:row r="432" s="116" customFormat="1" ht="15.75" customHeight="1">
      <x:c r="G432" s="106" t="n"/>
      <x:c r="H432" s="106" t="n"/>
    </x:row>
    <x:row r="433" s="116" customFormat="1" ht="15.75" customHeight="1">
      <x:c r="G433" s="106" t="n"/>
      <x:c r="H433" s="106" t="n"/>
    </x:row>
    <x:row r="434" s="116" customFormat="1" ht="15.75" customHeight="1">
      <x:c r="G434" s="106" t="n"/>
      <x:c r="H434" s="106" t="n"/>
    </x:row>
    <x:row r="435" s="116" customFormat="1" ht="15.75" customHeight="1">
      <x:c r="G435" s="106" t="n"/>
      <x:c r="H435" s="106" t="n"/>
    </x:row>
    <x:row r="436" s="116" customFormat="1" ht="15.75" customHeight="1">
      <x:c r="G436" s="106" t="n"/>
      <x:c r="H436" s="106" t="n"/>
    </x:row>
    <x:row r="437" s="116" customFormat="1" ht="15.75" customHeight="1">
      <x:c r="G437" s="106" t="n"/>
      <x:c r="H437" s="106" t="n"/>
    </x:row>
    <x:row r="438" s="116" customFormat="1" ht="15.75" customHeight="1">
      <x:c r="G438" s="106" t="n"/>
      <x:c r="H438" s="106" t="n"/>
    </x:row>
    <x:row r="439" s="116" customFormat="1" ht="15.75" customHeight="1">
      <x:c r="G439" s="106" t="n"/>
      <x:c r="H439" s="106" t="n"/>
    </x:row>
    <x:row r="440" s="116" customFormat="1" ht="15.75" customHeight="1">
      <x:c r="G440" s="106" t="n"/>
      <x:c r="H440" s="106" t="n"/>
    </x:row>
    <x:row r="441" s="116" customFormat="1" ht="15.75" customHeight="1">
      <x:c r="G441" s="106" t="n"/>
      <x:c r="H441" s="106" t="n"/>
    </x:row>
    <x:row r="442" s="116" customFormat="1" ht="15.75" customHeight="1">
      <x:c r="G442" s="106" t="n"/>
      <x:c r="H442" s="106" t="n"/>
    </x:row>
    <x:row r="443" s="116" customFormat="1" ht="15.75" customHeight="1">
      <x:c r="G443" s="106" t="n"/>
      <x:c r="H443" s="106" t="n"/>
    </x:row>
    <x:row r="444" s="116" customFormat="1" ht="15.75" customHeight="1">
      <x:c r="G444" s="106" t="n"/>
      <x:c r="H444" s="106" t="n"/>
    </x:row>
    <x:row r="445" s="116" customFormat="1" ht="15.75" customHeight="1">
      <x:c r="G445" s="106" t="n"/>
      <x:c r="H445" s="106" t="n"/>
    </x:row>
    <x:row r="446" s="116" customFormat="1" ht="15.75" customHeight="1">
      <x:c r="G446" s="106" t="n"/>
      <x:c r="H446" s="106" t="n"/>
    </x:row>
    <x:row r="447" s="116" customFormat="1" ht="15.75" customHeight="1">
      <x:c r="G447" s="106" t="n"/>
      <x:c r="H447" s="106" t="n"/>
    </x:row>
    <x:row r="448" s="116" customFormat="1" ht="15.75" customHeight="1">
      <x:c r="G448" s="106" t="n"/>
      <x:c r="H448" s="106" t="n"/>
    </x:row>
    <x:row r="449" s="116" customFormat="1" ht="15.75" customHeight="1">
      <x:c r="G449" s="106" t="n"/>
      <x:c r="H449" s="106" t="n"/>
    </x:row>
    <x:row r="450" s="116" customFormat="1" ht="15.75" customHeight="1">
      <x:c r="G450" s="106" t="n"/>
      <x:c r="H450" s="106" t="n"/>
    </x:row>
    <x:row r="451" s="116" customFormat="1" ht="15.75" customHeight="1">
      <x:c r="G451" s="106" t="n"/>
      <x:c r="H451" s="106" t="n"/>
    </x:row>
    <x:row r="452" s="116" customFormat="1" ht="15.75" customHeight="1">
      <x:c r="G452" s="106" t="n"/>
      <x:c r="H452" s="106" t="n"/>
    </x:row>
    <x:row r="453" s="116" customFormat="1" ht="15.75" customHeight="1">
      <x:c r="G453" s="106" t="n"/>
      <x:c r="H453" s="106" t="n"/>
    </x:row>
    <x:row r="454" s="116" customFormat="1" ht="15.75" customHeight="1">
      <x:c r="G454" s="106" t="n"/>
      <x:c r="H454" s="106" t="n"/>
    </x:row>
    <x:row r="455" s="116" customFormat="1" ht="15.75" customHeight="1">
      <x:c r="G455" s="106" t="n"/>
      <x:c r="H455" s="106" t="n"/>
    </x:row>
    <x:row r="456" s="116" customFormat="1" ht="15.75" customHeight="1">
      <x:c r="G456" s="106" t="n"/>
      <x:c r="H456" s="106" t="n"/>
    </x:row>
    <x:row r="457" s="116" customFormat="1" ht="15.75" customHeight="1">
      <x:c r="G457" s="106" t="n"/>
      <x:c r="H457" s="106" t="n"/>
    </x:row>
    <x:row r="458" s="116" customFormat="1" ht="15.75" customHeight="1">
      <x:c r="G458" s="106" t="n"/>
      <x:c r="H458" s="106" t="n"/>
    </x:row>
    <x:row r="459" s="116" customFormat="1" ht="15.75" customHeight="1">
      <x:c r="G459" s="106" t="n"/>
      <x:c r="H459" s="106" t="n"/>
    </x:row>
    <x:row r="460" s="116" customFormat="1" ht="15.75" customHeight="1">
      <x:c r="G460" s="106" t="n"/>
      <x:c r="H460" s="106" t="n"/>
    </x:row>
    <x:row r="461" s="116" customFormat="1" ht="15.75" customHeight="1">
      <x:c r="G461" s="106" t="n"/>
      <x:c r="H461" s="106" t="n"/>
    </x:row>
    <x:row r="462" s="116" customFormat="1" ht="15.75" customHeight="1">
      <x:c r="G462" s="106" t="n"/>
      <x:c r="H462" s="106" t="n"/>
    </x:row>
    <x:row r="463" s="116" customFormat="1" ht="15.75" customHeight="1">
      <x:c r="G463" s="106" t="n"/>
      <x:c r="H463" s="106" t="n"/>
    </x:row>
    <x:row r="464" s="116" customFormat="1" ht="15.75" customHeight="1">
      <x:c r="G464" s="106" t="n"/>
      <x:c r="H464" s="106" t="n"/>
    </x:row>
    <x:row r="465" s="116" customFormat="1" ht="15.75" customHeight="1">
      <x:c r="G465" s="106" t="n"/>
      <x:c r="H465" s="106" t="n"/>
    </x:row>
    <x:row r="466" s="116" customFormat="1" ht="15.75" customHeight="1">
      <x:c r="G466" s="106" t="n"/>
      <x:c r="H466" s="106" t="n"/>
    </x:row>
    <x:row r="467" s="116" customFormat="1" ht="15.75" customHeight="1">
      <x:c r="G467" s="106" t="n"/>
      <x:c r="H467" s="106" t="n"/>
    </x:row>
    <x:row r="468" s="116" customFormat="1" ht="15.75" customHeight="1">
      <x:c r="G468" s="106" t="n"/>
      <x:c r="H468" s="106" t="n"/>
    </x:row>
    <x:row r="469" s="116" customFormat="1" ht="15.75" customHeight="1">
      <x:c r="G469" s="106" t="n"/>
      <x:c r="H469" s="106" t="n"/>
    </x:row>
    <x:row r="470" s="116" customFormat="1" ht="15.75" customHeight="1">
      <x:c r="G470" s="106" t="n"/>
      <x:c r="H470" s="106" t="n"/>
    </x:row>
    <x:row r="471" s="116" customFormat="1" ht="15.75" customHeight="1">
      <x:c r="G471" s="106" t="n"/>
      <x:c r="H471" s="106" t="n"/>
    </x:row>
    <x:row r="472" s="116" customFormat="1" ht="15.75" customHeight="1">
      <x:c r="G472" s="106" t="n"/>
      <x:c r="H472" s="106" t="n"/>
    </x:row>
    <x:row r="473" s="116" customFormat="1" ht="15.75" customHeight="1">
      <x:c r="G473" s="106" t="n"/>
      <x:c r="H473" s="106" t="n"/>
    </x:row>
    <x:row r="474" s="116" customFormat="1" ht="15.75" customHeight="1">
      <x:c r="G474" s="106" t="n"/>
      <x:c r="H474" s="106" t="n"/>
    </x:row>
    <x:row r="475" s="116" customFormat="1" ht="15.75" customHeight="1">
      <x:c r="G475" s="106" t="n"/>
      <x:c r="H475" s="106" t="n"/>
    </x:row>
    <x:row r="476" s="116" customFormat="1" ht="15.75" customHeight="1">
      <x:c r="G476" s="106" t="n"/>
      <x:c r="H476" s="106" t="n"/>
    </x:row>
    <x:row r="477" s="116" customFormat="1" ht="15.75" customHeight="1">
      <x:c r="G477" s="106" t="n"/>
      <x:c r="H477" s="106" t="n"/>
    </x:row>
    <x:row r="478" s="116" customFormat="1" ht="15.75" customHeight="1">
      <x:c r="G478" s="106" t="n"/>
      <x:c r="H478" s="106" t="n"/>
    </x:row>
    <x:row r="479" s="116" customFormat="1" ht="15.75" customHeight="1">
      <x:c r="G479" s="106" t="n"/>
      <x:c r="H479" s="106" t="n"/>
    </x:row>
    <x:row r="480" s="116" customFormat="1" ht="15.75" customHeight="1">
      <x:c r="G480" s="106" t="n"/>
      <x:c r="H480" s="106" t="n"/>
    </x:row>
    <x:row r="481" s="116" customFormat="1" ht="15.75" customHeight="1">
      <x:c r="G481" s="106" t="n"/>
      <x:c r="H481" s="106" t="n"/>
    </x:row>
    <x:row r="482" s="116" customFormat="1" ht="15.75" customHeight="1">
      <x:c r="G482" s="106" t="n"/>
      <x:c r="H482" s="106" t="n"/>
    </x:row>
    <x:row r="483" s="116" customFormat="1" ht="15.75" customHeight="1">
      <x:c r="G483" s="106" t="n"/>
      <x:c r="H483" s="106" t="n"/>
    </x:row>
    <x:row r="484" s="116" customFormat="1" ht="15.75" customHeight="1">
      <x:c r="G484" s="106" t="n"/>
      <x:c r="H484" s="106" t="n"/>
    </x:row>
    <x:row r="485" s="116" customFormat="1" ht="15.75" customHeight="1">
      <x:c r="G485" s="106" t="n"/>
      <x:c r="H485" s="106" t="n"/>
    </x:row>
    <x:row r="486" s="116" customFormat="1" ht="15.75" customHeight="1">
      <x:c r="G486" s="106" t="n"/>
      <x:c r="H486" s="106" t="n"/>
    </x:row>
    <x:row r="487" s="116" customFormat="1" ht="15.75" customHeight="1">
      <x:c r="G487" s="106" t="n"/>
      <x:c r="H487" s="106" t="n"/>
    </x:row>
    <x:row r="488" s="116" customFormat="1" ht="15.75" customHeight="1">
      <x:c r="G488" s="106" t="n"/>
      <x:c r="H488" s="106" t="n"/>
    </x:row>
    <x:row r="489" s="116" customFormat="1" ht="15.75" customHeight="1">
      <x:c r="G489" s="106" t="n"/>
      <x:c r="H489" s="106" t="n"/>
    </x:row>
    <x:row r="490" s="116" customFormat="1" ht="15.75" customHeight="1">
      <x:c r="G490" s="106" t="n"/>
      <x:c r="H490" s="106" t="n"/>
    </x:row>
    <x:row r="491" s="116" customFormat="1" ht="15.75" customHeight="1">
      <x:c r="G491" s="106" t="n"/>
      <x:c r="H491" s="106" t="n"/>
    </x:row>
    <x:row r="492" s="116" customFormat="1" ht="15.75" customHeight="1">
      <x:c r="G492" s="106" t="n"/>
      <x:c r="H492" s="106" t="n"/>
    </x:row>
    <x:row r="493" s="116" customFormat="1" ht="15.75" customHeight="1">
      <x:c r="G493" s="106" t="n"/>
      <x:c r="H493" s="106" t="n"/>
    </x:row>
    <x:row r="494" s="116" customFormat="1" ht="15.75" customHeight="1">
      <x:c r="G494" s="106" t="n"/>
      <x:c r="H494" s="106" t="n"/>
    </x:row>
    <x:row r="495" s="116" customFormat="1" ht="15.75" customHeight="1">
      <x:c r="G495" s="106" t="n"/>
      <x:c r="H495" s="106" t="n"/>
    </x:row>
    <x:row r="496" s="116" customFormat="1" ht="15.75" customHeight="1">
      <x:c r="G496" s="106" t="n"/>
      <x:c r="H496" s="106" t="n"/>
    </x:row>
    <x:row r="497" s="116" customFormat="1" ht="15.75" customHeight="1">
      <x:c r="G497" s="106" t="n"/>
      <x:c r="H497" s="106" t="n"/>
    </x:row>
    <x:row r="498" s="116" customFormat="1" ht="15.75" customHeight="1">
      <x:c r="G498" s="106" t="n"/>
      <x:c r="H498" s="106" t="n"/>
    </x:row>
    <x:row r="499" s="116" customFormat="1" ht="15.75" customHeight="1">
      <x:c r="G499" s="106" t="n"/>
      <x:c r="H499" s="106" t="n"/>
    </x:row>
    <x:row r="500" s="116" customFormat="1" ht="15.75" customHeight="1">
      <x:c r="G500" s="106" t="n"/>
      <x:c r="H500" s="106" t="n"/>
    </x:row>
    <x:row r="501" s="116" customFormat="1" ht="15.75" customHeight="1">
      <x:c r="G501" s="106" t="n"/>
      <x:c r="H501" s="106" t="n"/>
    </x:row>
    <x:row r="502" s="116" customFormat="1" ht="15.75" customHeight="1">
      <x:c r="G502" s="106" t="n"/>
      <x:c r="H502" s="106" t="n"/>
    </x:row>
    <x:row r="503" s="116" customFormat="1" ht="15.75" customHeight="1">
      <x:c r="G503" s="106" t="n"/>
      <x:c r="H503" s="106" t="n"/>
    </x:row>
    <x:row r="504" s="116" customFormat="1" ht="15.75" customHeight="1">
      <x:c r="G504" s="106" t="n"/>
      <x:c r="H504" s="106" t="n"/>
    </x:row>
    <x:row r="505" s="116" customFormat="1" ht="15.75" customHeight="1">
      <x:c r="G505" s="106" t="n"/>
      <x:c r="H505" s="106" t="n"/>
    </x:row>
    <x:row r="506" s="116" customFormat="1" ht="15.75" customHeight="1">
      <x:c r="G506" s="106" t="n"/>
      <x:c r="H506" s="106" t="n"/>
    </x:row>
    <x:row r="507" s="116" customFormat="1" ht="15.75" customHeight="1">
      <x:c r="G507" s="106" t="n"/>
      <x:c r="H507" s="106" t="n"/>
    </x:row>
    <x:row r="508" s="116" customFormat="1" ht="15.75" customHeight="1">
      <x:c r="G508" s="106" t="n"/>
      <x:c r="H508" s="106" t="n"/>
    </x:row>
    <x:row r="509" s="116" customFormat="1" ht="15.75" customHeight="1">
      <x:c r="G509" s="106" t="n"/>
      <x:c r="H509" s="106" t="n"/>
    </x:row>
    <x:row r="510" s="116" customFormat="1" ht="15.75" customHeight="1">
      <x:c r="G510" s="106" t="n"/>
      <x:c r="H510" s="106" t="n"/>
    </x:row>
    <x:row r="511" s="116" customFormat="1" ht="15.75" customHeight="1">
      <x:c r="G511" s="106" t="n"/>
      <x:c r="H511" s="106" t="n"/>
    </x:row>
    <x:row r="512" s="116" customFormat="1" ht="15.75" customHeight="1">
      <x:c r="G512" s="106" t="n"/>
      <x:c r="H512" s="106" t="n"/>
    </x:row>
    <x:row r="513" s="116" customFormat="1" ht="15.75" customHeight="1">
      <x:c r="G513" s="106" t="n"/>
      <x:c r="H513" s="106" t="n"/>
    </x:row>
    <x:row r="514" s="116" customFormat="1" ht="15.75" customHeight="1">
      <x:c r="G514" s="106" t="n"/>
      <x:c r="H514" s="106" t="n"/>
    </x:row>
    <x:row r="515" s="116" customFormat="1" ht="15.75" customHeight="1">
      <x:c r="G515" s="106" t="n"/>
      <x:c r="H515" s="106" t="n"/>
    </x:row>
    <x:row r="516" s="116" customFormat="1" ht="15.75" customHeight="1">
      <x:c r="G516" s="106" t="n"/>
      <x:c r="H516" s="106" t="n"/>
    </x:row>
    <x:row r="517" s="116" customFormat="1" ht="15.75" customHeight="1">
      <x:c r="G517" s="106" t="n"/>
      <x:c r="H517" s="106" t="n"/>
    </x:row>
    <x:row r="518" s="116" customFormat="1" ht="15.75" customHeight="1">
      <x:c r="G518" s="106" t="n"/>
      <x:c r="H518" s="106" t="n"/>
    </x:row>
    <x:row r="519" s="116" customFormat="1" ht="15.75" customHeight="1">
      <x:c r="G519" s="106" t="n"/>
      <x:c r="H519" s="106" t="n"/>
    </x:row>
    <x:row r="520" s="116" customFormat="1" ht="15.75" customHeight="1">
      <x:c r="G520" s="106" t="n"/>
      <x:c r="H520" s="106" t="n"/>
    </x:row>
    <x:row r="521" s="116" customFormat="1" ht="15.75" customHeight="1">
      <x:c r="G521" s="106" t="n"/>
      <x:c r="H521" s="106" t="n"/>
    </x:row>
    <x:row r="522" s="116" customFormat="1" ht="15.75" customHeight="1">
      <x:c r="G522" s="106" t="n"/>
      <x:c r="H522" s="106" t="n"/>
    </x:row>
    <x:row r="523" s="116" customFormat="1" ht="15.75" customHeight="1">
      <x:c r="G523" s="106" t="n"/>
      <x:c r="H523" s="106" t="n"/>
    </x:row>
    <x:row r="524" s="116" customFormat="1" ht="15.75" customHeight="1">
      <x:c r="G524" s="106" t="n"/>
      <x:c r="H524" s="106" t="n"/>
    </x:row>
    <x:row r="525" s="116" customFormat="1" ht="15.75" customHeight="1">
      <x:c r="G525" s="106" t="n"/>
      <x:c r="H525" s="106" t="n"/>
    </x:row>
    <x:row r="526" s="116" customFormat="1" ht="15.75" customHeight="1">
      <x:c r="G526" s="106" t="n"/>
      <x:c r="H526" s="106" t="n"/>
    </x:row>
    <x:row r="527" s="116" customFormat="1" ht="15.75" customHeight="1">
      <x:c r="G527" s="106" t="n"/>
      <x:c r="H527" s="106" t="n"/>
    </x:row>
    <x:row r="528" s="116" customFormat="1" ht="15.75" customHeight="1">
      <x:c r="G528" s="106" t="n"/>
      <x:c r="H528" s="106" t="n"/>
    </x:row>
    <x:row r="529" s="116" customFormat="1" ht="15.75" customHeight="1">
      <x:c r="G529" s="106" t="n"/>
      <x:c r="H529" s="106" t="n"/>
    </x:row>
    <x:row r="530" s="116" customFormat="1" ht="15.75" customHeight="1">
      <x:c r="G530" s="106" t="n"/>
      <x:c r="H530" s="106" t="n"/>
    </x:row>
    <x:row r="531" s="116" customFormat="1" ht="15.75" customHeight="1">
      <x:c r="G531" s="106" t="n"/>
      <x:c r="H531" s="106" t="n"/>
    </x:row>
    <x:row r="532" s="116" customFormat="1" ht="15.75" customHeight="1">
      <x:c r="G532" s="106" t="n"/>
      <x:c r="H532" s="106" t="n"/>
    </x:row>
    <x:row r="533" s="116" customFormat="1" ht="15.75" customHeight="1">
      <x:c r="G533" s="106" t="n"/>
      <x:c r="H533" s="106" t="n"/>
    </x:row>
    <x:row r="534" s="116" customFormat="1" ht="15.75" customHeight="1">
      <x:c r="G534" s="106" t="n"/>
      <x:c r="H534" s="106" t="n"/>
    </x:row>
    <x:row r="535" s="116" customFormat="1" ht="15.75" customHeight="1">
      <x:c r="G535" s="106" t="n"/>
      <x:c r="H535" s="106" t="n"/>
    </x:row>
    <x:row r="536" s="116" customFormat="1" ht="15.75" customHeight="1">
      <x:c r="G536" s="106" t="n"/>
      <x:c r="H536" s="106" t="n"/>
    </x:row>
    <x:row r="537" s="116" customFormat="1" ht="15.75" customHeight="1">
      <x:c r="G537" s="106" t="n"/>
      <x:c r="H537" s="106" t="n"/>
    </x:row>
    <x:row r="538" s="116" customFormat="1" ht="15.75" customHeight="1">
      <x:c r="G538" s="106" t="n"/>
      <x:c r="H538" s="106" t="n"/>
    </x:row>
    <x:row r="539" s="116" customFormat="1" ht="15.75" customHeight="1">
      <x:c r="G539" s="106" t="n"/>
      <x:c r="H539" s="106" t="n"/>
    </x:row>
    <x:row r="540" s="116" customFormat="1" ht="15.75" customHeight="1">
      <x:c r="G540" s="106" t="n"/>
      <x:c r="H540" s="106" t="n"/>
    </x:row>
    <x:row r="541" s="116" customFormat="1" ht="15.75" customHeight="1">
      <x:c r="G541" s="106" t="n"/>
      <x:c r="H541" s="106" t="n"/>
    </x:row>
    <x:row r="542" s="116" customFormat="1" ht="15.75" customHeight="1">
      <x:c r="G542" s="106" t="n"/>
      <x:c r="H542" s="106" t="n"/>
    </x:row>
    <x:row r="543" s="116" customFormat="1" ht="15.75" customHeight="1">
      <x:c r="G543" s="106" t="n"/>
      <x:c r="H543" s="106" t="n"/>
    </x:row>
    <x:row r="544" s="116" customFormat="1" ht="15.75" customHeight="1">
      <x:c r="G544" s="106" t="n"/>
      <x:c r="H544" s="106" t="n"/>
    </x:row>
    <x:row r="545" s="116" customFormat="1" ht="15.75" customHeight="1">
      <x:c r="G545" s="106" t="n"/>
      <x:c r="H545" s="106" t="n"/>
    </x:row>
    <x:row r="546" s="116" customFormat="1" ht="15.75" customHeight="1">
      <x:c r="G546" s="106" t="n"/>
      <x:c r="H546" s="106" t="n"/>
    </x:row>
    <x:row r="547" s="116" customFormat="1" ht="15.75" customHeight="1">
      <x:c r="G547" s="106" t="n"/>
      <x:c r="H547" s="106" t="n"/>
    </x:row>
    <x:row r="548" s="116" customFormat="1" ht="15.75" customHeight="1">
      <x:c r="G548" s="106" t="n"/>
      <x:c r="H548" s="106" t="n"/>
    </x:row>
    <x:row r="549" s="116" customFormat="1" ht="15.75" customHeight="1">
      <x:c r="G549" s="106" t="n"/>
      <x:c r="H549" s="106" t="n"/>
    </x:row>
    <x:row r="550" s="116" customFormat="1" ht="15.75" customHeight="1">
      <x:c r="G550" s="106" t="n"/>
      <x:c r="H550" s="106" t="n"/>
    </x:row>
    <x:row r="551" s="116" customFormat="1" ht="15.75" customHeight="1">
      <x:c r="G551" s="106" t="n"/>
      <x:c r="H551" s="106" t="n"/>
    </x:row>
    <x:row r="552" s="116" customFormat="1" ht="15.75" customHeight="1">
      <x:c r="G552" s="106" t="n"/>
      <x:c r="H552" s="106" t="n"/>
    </x:row>
    <x:row r="553" s="116" customFormat="1" ht="15.75" customHeight="1">
      <x:c r="G553" s="106" t="n"/>
      <x:c r="H553" s="106" t="n"/>
    </x:row>
    <x:row r="554" s="116" customFormat="1" ht="15.75" customHeight="1">
      <x:c r="G554" s="106" t="n"/>
      <x:c r="H554" s="106" t="n"/>
    </x:row>
    <x:row r="555" s="116" customFormat="1" ht="15.75" customHeight="1">
      <x:c r="G555" s="106" t="n"/>
      <x:c r="H555" s="106" t="n"/>
    </x:row>
    <x:row r="556" s="116" customFormat="1" ht="15.75" customHeight="1">
      <x:c r="G556" s="106" t="n"/>
      <x:c r="H556" s="106" t="n"/>
    </x:row>
    <x:row r="557" s="116" customFormat="1" ht="15.75" customHeight="1">
      <x:c r="G557" s="106" t="n"/>
      <x:c r="H557" s="106" t="n"/>
    </x:row>
    <x:row r="558" s="116" customFormat="1" ht="15.75" customHeight="1">
      <x:c r="G558" s="106" t="n"/>
      <x:c r="H558" s="106" t="n"/>
    </x:row>
    <x:row r="559" s="116" customFormat="1" ht="15.75" customHeight="1">
      <x:c r="G559" s="106" t="n"/>
      <x:c r="H559" s="106" t="n"/>
    </x:row>
    <x:row r="560" s="116" customFormat="1" ht="15.75" customHeight="1">
      <x:c r="G560" s="106" t="n"/>
      <x:c r="H560" s="106" t="n"/>
    </x:row>
    <x:row r="561" s="116" customFormat="1" ht="15.75" customHeight="1">
      <x:c r="G561" s="106" t="n"/>
      <x:c r="H561" s="106" t="n"/>
    </x:row>
    <x:row r="562" s="116" customFormat="1" ht="15.75" customHeight="1">
      <x:c r="G562" s="106" t="n"/>
      <x:c r="H562" s="106" t="n"/>
    </x:row>
    <x:row r="563" s="116" customFormat="1" ht="15.75" customHeight="1">
      <x:c r="G563" s="106" t="n"/>
      <x:c r="H563" s="106" t="n"/>
    </x:row>
    <x:row r="564" s="116" customFormat="1" ht="15.75" customHeight="1">
      <x:c r="G564" s="106" t="n"/>
      <x:c r="H564" s="106" t="n"/>
    </x:row>
    <x:row r="565" s="116" customFormat="1" ht="15.75" customHeight="1">
      <x:c r="G565" s="106" t="n"/>
      <x:c r="H565" s="106" t="n"/>
    </x:row>
    <x:row r="566" s="116" customFormat="1" ht="15.75" customHeight="1">
      <x:c r="G566" s="106" t="n"/>
      <x:c r="H566" s="106" t="n"/>
    </x:row>
    <x:row r="567" s="116" customFormat="1" ht="15.75" customHeight="1">
      <x:c r="G567" s="106" t="n"/>
      <x:c r="H567" s="106" t="n"/>
    </x:row>
    <x:row r="568" s="116" customFormat="1" ht="15.75" customHeight="1">
      <x:c r="G568" s="106" t="n"/>
      <x:c r="H568" s="106" t="n"/>
    </x:row>
    <x:row r="569" s="116" customFormat="1" ht="15.75" customHeight="1">
      <x:c r="G569" s="106" t="n"/>
      <x:c r="H569" s="106" t="n"/>
    </x:row>
    <x:row r="570" s="116" customFormat="1" ht="15.75" customHeight="1">
      <x:c r="G570" s="106" t="n"/>
      <x:c r="H570" s="106" t="n"/>
    </x:row>
    <x:row r="571" s="116" customFormat="1" ht="15.75" customHeight="1">
      <x:c r="G571" s="106" t="n"/>
      <x:c r="H571" s="106" t="n"/>
    </x:row>
    <x:row r="572" s="116" customFormat="1" ht="15.75" customHeight="1">
      <x:c r="G572" s="106" t="n"/>
      <x:c r="H572" s="106" t="n"/>
    </x:row>
    <x:row r="573" s="116" customFormat="1" ht="15.75" customHeight="1">
      <x:c r="G573" s="106" t="n"/>
      <x:c r="H573" s="106" t="n"/>
    </x:row>
    <x:row r="574" s="116" customFormat="1" ht="15.75" customHeight="1">
      <x:c r="G574" s="106" t="n"/>
      <x:c r="H574" s="106" t="n"/>
    </x:row>
    <x:row r="575" s="116" customFormat="1" ht="15.75" customHeight="1">
      <x:c r="G575" s="106" t="n"/>
      <x:c r="H575" s="106" t="n"/>
    </x:row>
    <x:row r="576" s="116" customFormat="1" ht="15.75" customHeight="1">
      <x:c r="G576" s="106" t="n"/>
      <x:c r="H576" s="106" t="n"/>
    </x:row>
    <x:row r="577" s="116" customFormat="1" ht="15.75" customHeight="1">
      <x:c r="G577" s="106" t="n"/>
      <x:c r="H577" s="106" t="n"/>
    </x:row>
    <x:row r="578" s="116" customFormat="1" ht="15.75" customHeight="1">
      <x:c r="G578" s="106" t="n"/>
      <x:c r="H578" s="106" t="n"/>
    </x:row>
    <x:row r="579" s="116" customFormat="1" ht="15.75" customHeight="1">
      <x:c r="G579" s="106" t="n"/>
      <x:c r="H579" s="106" t="n"/>
    </x:row>
    <x:row r="580" s="116" customFormat="1" ht="15.75" customHeight="1">
      <x:c r="G580" s="106" t="n"/>
      <x:c r="H580" s="106" t="n"/>
    </x:row>
    <x:row r="581" s="116" customFormat="1" ht="15.75" customHeight="1">
      <x:c r="G581" s="106" t="n"/>
      <x:c r="H581" s="106" t="n"/>
    </x:row>
    <x:row r="582" s="116" customFormat="1" ht="15.75" customHeight="1">
      <x:c r="G582" s="106" t="n"/>
      <x:c r="H582" s="106" t="n"/>
    </x:row>
    <x:row r="583" s="116" customFormat="1" ht="15.75" customHeight="1">
      <x:c r="G583" s="106" t="n"/>
      <x:c r="H583" s="106" t="n"/>
    </x:row>
    <x:row r="584" s="116" customFormat="1" ht="15.75" customHeight="1">
      <x:c r="G584" s="106" t="n"/>
      <x:c r="H584" s="106" t="n"/>
    </x:row>
    <x:row r="585" s="116" customFormat="1" ht="15.75" customHeight="1">
      <x:c r="G585" s="106" t="n"/>
      <x:c r="H585" s="106" t="n"/>
    </x:row>
    <x:row r="586" s="116" customFormat="1" ht="15.75" customHeight="1">
      <x:c r="G586" s="106" t="n"/>
      <x:c r="H586" s="106" t="n"/>
    </x:row>
    <x:row r="587" s="116" customFormat="1" ht="15.75" customHeight="1">
      <x:c r="G587" s="106" t="n"/>
      <x:c r="H587" s="106" t="n"/>
    </x:row>
    <x:row r="588" s="116" customFormat="1" ht="15.75" customHeight="1">
      <x:c r="G588" s="106" t="n"/>
      <x:c r="H588" s="106" t="n"/>
    </x:row>
    <x:row r="589" s="116" customFormat="1" ht="15.75" customHeight="1">
      <x:c r="G589" s="106" t="n"/>
      <x:c r="H589" s="106" t="n"/>
    </x:row>
    <x:row r="590" s="116" customFormat="1" ht="15.75" customHeight="1">
      <x:c r="G590" s="106" t="n"/>
      <x:c r="H590" s="106" t="n"/>
    </x:row>
    <x:row r="591" s="116" customFormat="1" ht="15.75" customHeight="1">
      <x:c r="G591" s="106" t="n"/>
      <x:c r="H591" s="106" t="n"/>
    </x:row>
    <x:row r="592" s="116" customFormat="1" ht="15.75" customHeight="1">
      <x:c r="G592" s="106" t="n"/>
      <x:c r="H592" s="106" t="n"/>
    </x:row>
    <x:row r="593" s="116" customFormat="1" ht="15.75" customHeight="1">
      <x:c r="G593" s="106" t="n"/>
      <x:c r="H593" s="106" t="n"/>
    </x:row>
    <x:row r="594" s="116" customFormat="1" ht="15.75" customHeight="1">
      <x:c r="G594" s="106" t="n"/>
      <x:c r="H594" s="106" t="n"/>
    </x:row>
    <x:row r="595" s="116" customFormat="1" ht="15.75" customHeight="1">
      <x:c r="G595" s="106" t="n"/>
      <x:c r="H595" s="106" t="n"/>
    </x:row>
    <x:row r="596" s="116" customFormat="1" ht="15.75" customHeight="1">
      <x:c r="G596" s="106" t="n"/>
      <x:c r="H596" s="106" t="n"/>
    </x:row>
    <x:row r="597" s="116" customFormat="1" ht="15.75" customHeight="1">
      <x:c r="G597" s="106" t="n"/>
      <x:c r="H597" s="106" t="n"/>
    </x:row>
    <x:row r="598" s="116" customFormat="1" ht="15.75" customHeight="1">
      <x:c r="G598" s="106" t="n"/>
      <x:c r="H598" s="106" t="n"/>
    </x:row>
    <x:row r="599" s="116" customFormat="1" ht="15.75" customHeight="1">
      <x:c r="G599" s="106" t="n"/>
      <x:c r="H599" s="106" t="n"/>
    </x:row>
    <x:row r="600" s="116" customFormat="1" ht="15.75" customHeight="1">
      <x:c r="G600" s="106" t="n"/>
      <x:c r="H600" s="106" t="n"/>
    </x:row>
    <x:row r="601" s="116" customFormat="1" ht="15.75" customHeight="1">
      <x:c r="G601" s="106" t="n"/>
      <x:c r="H601" s="106" t="n"/>
    </x:row>
    <x:row r="602" s="116" customFormat="1" ht="15.75" customHeight="1">
      <x:c r="G602" s="106" t="n"/>
      <x:c r="H602" s="106" t="n"/>
    </x:row>
    <x:row r="603" s="116" customFormat="1" ht="15.75" customHeight="1">
      <x:c r="G603" s="106" t="n"/>
      <x:c r="H603" s="106" t="n"/>
    </x:row>
    <x:row r="604" s="116" customFormat="1" ht="15.75" customHeight="1">
      <x:c r="G604" s="106" t="n"/>
      <x:c r="H604" s="106" t="n"/>
    </x:row>
    <x:row r="605" s="116" customFormat="1" ht="15.75" customHeight="1">
      <x:c r="G605" s="106" t="n"/>
      <x:c r="H605" s="106" t="n"/>
    </x:row>
    <x:row r="606" s="116" customFormat="1" ht="15.75" customHeight="1">
      <x:c r="G606" s="106" t="n"/>
      <x:c r="H606" s="106" t="n"/>
    </x:row>
    <x:row r="607" s="116" customFormat="1" ht="15.75" customHeight="1">
      <x:c r="G607" s="106" t="n"/>
      <x:c r="H607" s="106" t="n"/>
    </x:row>
    <x:row r="608" s="116" customFormat="1" ht="15.75" customHeight="1">
      <x:c r="G608" s="106" t="n"/>
      <x:c r="H608" s="106" t="n"/>
    </x:row>
    <x:row r="609" s="116" customFormat="1" ht="15.75" customHeight="1">
      <x:c r="G609" s="106" t="n"/>
      <x:c r="H609" s="106" t="n"/>
    </x:row>
    <x:row r="610" s="116" customFormat="1" ht="15.75" customHeight="1">
      <x:c r="G610" s="106" t="n"/>
      <x:c r="H610" s="106" t="n"/>
    </x:row>
    <x:row r="611" s="116" customFormat="1" ht="15.75" customHeight="1">
      <x:c r="G611" s="106" t="n"/>
      <x:c r="H611" s="106" t="n"/>
    </x:row>
    <x:row r="612" s="116" customFormat="1" ht="15.75" customHeight="1">
      <x:c r="G612" s="106" t="n"/>
      <x:c r="H612" s="106" t="n"/>
    </x:row>
    <x:row r="613" s="116" customFormat="1" ht="15.75" customHeight="1">
      <x:c r="G613" s="106" t="n"/>
      <x:c r="H613" s="106" t="n"/>
    </x:row>
    <x:row r="614" s="116" customFormat="1" ht="15.75" customHeight="1">
      <x:c r="G614" s="106" t="n"/>
      <x:c r="H614" s="106" t="n"/>
    </x:row>
    <x:row r="615" s="116" customFormat="1" ht="15.75" customHeight="1">
      <x:c r="G615" s="106" t="n"/>
      <x:c r="H615" s="106" t="n"/>
    </x:row>
    <x:row r="616" s="116" customFormat="1" ht="15.75" customHeight="1">
      <x:c r="G616" s="106" t="n"/>
      <x:c r="H616" s="106" t="n"/>
    </x:row>
    <x:row r="617" s="116" customFormat="1" ht="15.75" customHeight="1">
      <x:c r="G617" s="106" t="n"/>
      <x:c r="H617" s="106" t="n"/>
    </x:row>
    <x:row r="618" s="116" customFormat="1" ht="15.75" customHeight="1">
      <x:c r="G618" s="106" t="n"/>
      <x:c r="H618" s="106" t="n"/>
    </x:row>
    <x:row r="619" s="116" customFormat="1" ht="15.75" customHeight="1">
      <x:c r="G619" s="106" t="n"/>
      <x:c r="H619" s="106" t="n"/>
    </x:row>
    <x:row r="620" s="116" customFormat="1" ht="15.75" customHeight="1">
      <x:c r="G620" s="106" t="n"/>
      <x:c r="H620" s="106" t="n"/>
    </x:row>
    <x:row r="621" s="116" customFormat="1" ht="15.75" customHeight="1">
      <x:c r="G621" s="106" t="n"/>
      <x:c r="H621" s="106" t="n"/>
    </x:row>
    <x:row r="622" s="116" customFormat="1" ht="15.75" customHeight="1">
      <x:c r="G622" s="106" t="n"/>
      <x:c r="H622" s="106" t="n"/>
    </x:row>
    <x:row r="623" s="116" customFormat="1" ht="15.75" customHeight="1">
      <x:c r="G623" s="106" t="n"/>
      <x:c r="H623" s="106" t="n"/>
    </x:row>
    <x:row r="624" s="116" customFormat="1" ht="15.75" customHeight="1">
      <x:c r="G624" s="106" t="n"/>
      <x:c r="H624" s="106" t="n"/>
    </x:row>
    <x:row r="625" s="116" customFormat="1" ht="15.75" customHeight="1">
      <x:c r="G625" s="106" t="n"/>
      <x:c r="H625" s="106" t="n"/>
    </x:row>
    <x:row r="626" s="116" customFormat="1" ht="15.75" customHeight="1">
      <x:c r="G626" s="106" t="n"/>
      <x:c r="H626" s="106" t="n"/>
    </x:row>
    <x:row r="627" s="116" customFormat="1" ht="15.75" customHeight="1">
      <x:c r="G627" s="106" t="n"/>
      <x:c r="H627" s="106" t="n"/>
    </x:row>
    <x:row r="628" s="116" customFormat="1" ht="15.75" customHeight="1">
      <x:c r="G628" s="106" t="n"/>
      <x:c r="H628" s="106" t="n"/>
    </x:row>
    <x:row r="629" s="116" customFormat="1" ht="15.75" customHeight="1">
      <x:c r="G629" s="106" t="n"/>
      <x:c r="H629" s="106" t="n"/>
    </x:row>
    <x:row r="630" s="116" customFormat="1" ht="15.75" customHeight="1">
      <x:c r="G630" s="106" t="n"/>
      <x:c r="H630" s="106" t="n"/>
    </x:row>
    <x:row r="631" s="116" customFormat="1" ht="15.75" customHeight="1">
      <x:c r="G631" s="106" t="n"/>
      <x:c r="H631" s="106" t="n"/>
    </x:row>
    <x:row r="632" s="116" customFormat="1" ht="15.75" customHeight="1">
      <x:c r="G632" s="106" t="n"/>
      <x:c r="H632" s="106" t="n"/>
    </x:row>
    <x:row r="633" s="116" customFormat="1" ht="15.75" customHeight="1">
      <x:c r="G633" s="106" t="n"/>
      <x:c r="H633" s="106" t="n"/>
    </x:row>
    <x:row r="634" s="116" customFormat="1" ht="15.75" customHeight="1">
      <x:c r="G634" s="106" t="n"/>
      <x:c r="H634" s="106" t="n"/>
    </x:row>
    <x:row r="635" s="116" customFormat="1" ht="15.75" customHeight="1">
      <x:c r="G635" s="106" t="n"/>
      <x:c r="H635" s="106" t="n"/>
    </x:row>
    <x:row r="636" s="116" customFormat="1" ht="15.75" customHeight="1">
      <x:c r="G636" s="106" t="n"/>
      <x:c r="H636" s="106" t="n"/>
    </x:row>
    <x:row r="637" s="116" customFormat="1" ht="15.75" customHeight="1">
      <x:c r="G637" s="106" t="n"/>
      <x:c r="H637" s="106" t="n"/>
    </x:row>
    <x:row r="638" s="116" customFormat="1" ht="15.75" customHeight="1">
      <x:c r="G638" s="106" t="n"/>
      <x:c r="H638" s="106" t="n"/>
    </x:row>
    <x:row r="639" s="116" customFormat="1" ht="15.75" customHeight="1">
      <x:c r="G639" s="106" t="n"/>
      <x:c r="H639" s="106" t="n"/>
    </x:row>
    <x:row r="640" s="116" customFormat="1" ht="15.75" customHeight="1">
      <x:c r="G640" s="106" t="n"/>
      <x:c r="H640" s="106" t="n"/>
    </x:row>
    <x:row r="641" s="116" customFormat="1" ht="15.75" customHeight="1">
      <x:c r="G641" s="106" t="n"/>
      <x:c r="H641" s="106" t="n"/>
    </x:row>
    <x:row r="642" s="116" customFormat="1" ht="15.75" customHeight="1">
      <x:c r="G642" s="106" t="n"/>
      <x:c r="H642" s="106" t="n"/>
    </x:row>
    <x:row r="643" s="116" customFormat="1" ht="15.75" customHeight="1">
      <x:c r="G643" s="106" t="n"/>
      <x:c r="H643" s="106" t="n"/>
    </x:row>
    <x:row r="644" s="116" customFormat="1" ht="15.75" customHeight="1">
      <x:c r="G644" s="106" t="n"/>
      <x:c r="H644" s="106" t="n"/>
    </x:row>
    <x:row r="645" s="116" customFormat="1" ht="15.75" customHeight="1">
      <x:c r="G645" s="106" t="n"/>
      <x:c r="H645" s="106" t="n"/>
    </x:row>
    <x:row r="646" s="116" customFormat="1" ht="15.75" customHeight="1">
      <x:c r="G646" s="106" t="n"/>
      <x:c r="H646" s="106" t="n"/>
    </x:row>
    <x:row r="647" s="116" customFormat="1" ht="15.75" customHeight="1">
      <x:c r="G647" s="106" t="n"/>
      <x:c r="H647" s="106" t="n"/>
    </x:row>
    <x:row r="648" s="116" customFormat="1" ht="15.75" customHeight="1">
      <x:c r="G648" s="106" t="n"/>
      <x:c r="H648" s="106" t="n"/>
    </x:row>
    <x:row r="649" s="116" customFormat="1" ht="15.75" customHeight="1">
      <x:c r="G649" s="106" t="n"/>
      <x:c r="H649" s="106" t="n"/>
    </x:row>
    <x:row r="650" s="116" customFormat="1" ht="15.75" customHeight="1">
      <x:c r="G650" s="106" t="n"/>
      <x:c r="H650" s="106" t="n"/>
    </x:row>
    <x:row r="651" s="116" customFormat="1" ht="15.75" customHeight="1">
      <x:c r="G651" s="106" t="n"/>
      <x:c r="H651" s="106" t="n"/>
    </x:row>
    <x:row r="652" s="116" customFormat="1" ht="15.75" customHeight="1">
      <x:c r="G652" s="106" t="n"/>
      <x:c r="H652" s="106" t="n"/>
    </x:row>
    <x:row r="653" s="116" customFormat="1" ht="15.75" customHeight="1">
      <x:c r="G653" s="106" t="n"/>
      <x:c r="H653" s="106" t="n"/>
    </x:row>
    <x:row r="654" s="116" customFormat="1" ht="15.75" customHeight="1">
      <x:c r="G654" s="106" t="n"/>
      <x:c r="H654" s="106" t="n"/>
    </x:row>
    <x:row r="655" s="116" customFormat="1" ht="15.75" customHeight="1">
      <x:c r="G655" s="106" t="n"/>
      <x:c r="H655" s="106" t="n"/>
    </x:row>
    <x:row r="656" s="116" customFormat="1" ht="15.75" customHeight="1">
      <x:c r="G656" s="106" t="n"/>
      <x:c r="H656" s="106" t="n"/>
    </x:row>
    <x:row r="657" s="116" customFormat="1" ht="15.75" customHeight="1">
      <x:c r="G657" s="106" t="n"/>
      <x:c r="H657" s="106" t="n"/>
    </x:row>
    <x:row r="658" s="116" customFormat="1" ht="15.75" customHeight="1">
      <x:c r="G658" s="106" t="n"/>
      <x:c r="H658" s="106" t="n"/>
    </x:row>
    <x:row r="659" s="116" customFormat="1" ht="15.75" customHeight="1">
      <x:c r="G659" s="106" t="n"/>
      <x:c r="H659" s="106" t="n"/>
    </x:row>
    <x:row r="660" s="116" customFormat="1" ht="15.75" customHeight="1">
      <x:c r="G660" s="106" t="n"/>
      <x:c r="H660" s="106" t="n"/>
    </x:row>
    <x:row r="661" s="116" customFormat="1" ht="15.75" customHeight="1">
      <x:c r="G661" s="106" t="n"/>
      <x:c r="H661" s="106" t="n"/>
    </x:row>
    <x:row r="662" s="116" customFormat="1" ht="15.75" customHeight="1">
      <x:c r="G662" s="106" t="n"/>
      <x:c r="H662" s="106" t="n"/>
    </x:row>
    <x:row r="663" s="116" customFormat="1" ht="15.75" customHeight="1">
      <x:c r="G663" s="106" t="n"/>
      <x:c r="H663" s="106" t="n"/>
    </x:row>
    <x:row r="664" s="116" customFormat="1" ht="15.75" customHeight="1">
      <x:c r="G664" s="106" t="n"/>
      <x:c r="H664" s="106" t="n"/>
    </x:row>
    <x:row r="665" s="116" customFormat="1" ht="15.75" customHeight="1">
      <x:c r="G665" s="106" t="n"/>
      <x:c r="H665" s="106" t="n"/>
    </x:row>
    <x:row r="666" s="116" customFormat="1" ht="15.75" customHeight="1">
      <x:c r="G666" s="106" t="n"/>
      <x:c r="H666" s="106" t="n"/>
    </x:row>
    <x:row r="667" s="116" customFormat="1" ht="15.75" customHeight="1">
      <x:c r="G667" s="106" t="n"/>
      <x:c r="H667" s="106" t="n"/>
    </x:row>
    <x:row r="668" s="116" customFormat="1" ht="15.75" customHeight="1">
      <x:c r="G668" s="106" t="n"/>
      <x:c r="H668" s="106" t="n"/>
    </x:row>
    <x:row r="669" s="116" customFormat="1" ht="15.75" customHeight="1">
      <x:c r="G669" s="106" t="n"/>
      <x:c r="H669" s="106" t="n"/>
    </x:row>
    <x:row r="670" s="116" customFormat="1" ht="15.75" customHeight="1">
      <x:c r="G670" s="106" t="n"/>
      <x:c r="H670" s="106" t="n"/>
    </x:row>
    <x:row r="671" s="116" customFormat="1" ht="15.75" customHeight="1">
      <x:c r="G671" s="106" t="n"/>
      <x:c r="H671" s="106" t="n"/>
    </x:row>
    <x:row r="672" s="116" customFormat="1" ht="15.75" customHeight="1">
      <x:c r="G672" s="106" t="n"/>
      <x:c r="H672" s="106" t="n"/>
    </x:row>
    <x:row r="673" s="116" customFormat="1" ht="15.75" customHeight="1">
      <x:c r="G673" s="106" t="n"/>
      <x:c r="H673" s="106" t="n"/>
    </x:row>
    <x:row r="674" s="116" customFormat="1" ht="15.75" customHeight="1">
      <x:c r="G674" s="106" t="n"/>
      <x:c r="H674" s="106" t="n"/>
    </x:row>
    <x:row r="675" s="116" customFormat="1" ht="15.75" customHeight="1">
      <x:c r="G675" s="106" t="n"/>
      <x:c r="H675" s="106" t="n"/>
    </x:row>
    <x:row r="676" s="116" customFormat="1" ht="15.75" customHeight="1">
      <x:c r="G676" s="106" t="n"/>
      <x:c r="H676" s="106" t="n"/>
    </x:row>
    <x:row r="677" s="116" customFormat="1" ht="15.75" customHeight="1">
      <x:c r="G677" s="106" t="n"/>
      <x:c r="H677" s="106" t="n"/>
    </x:row>
    <x:row r="678" s="116" customFormat="1" ht="15.75" customHeight="1">
      <x:c r="G678" s="106" t="n"/>
      <x:c r="H678" s="106" t="n"/>
    </x:row>
    <x:row r="679" s="116" customFormat="1" ht="15.75" customHeight="1">
      <x:c r="G679" s="106" t="n"/>
      <x:c r="H679" s="106" t="n"/>
    </x:row>
    <x:row r="680" s="116" customFormat="1" ht="15.75" customHeight="1">
      <x:c r="G680" s="106" t="n"/>
      <x:c r="H680" s="106" t="n"/>
    </x:row>
    <x:row r="681" s="116" customFormat="1" ht="15.75" customHeight="1">
      <x:c r="G681" s="106" t="n"/>
      <x:c r="H681" s="106" t="n"/>
    </x:row>
    <x:row r="682" s="116" customFormat="1" ht="15.75" customHeight="1">
      <x:c r="G682" s="106" t="n"/>
      <x:c r="H682" s="106" t="n"/>
    </x:row>
    <x:row r="683" s="116" customFormat="1" ht="15.75" customHeight="1">
      <x:c r="G683" s="106" t="n"/>
      <x:c r="H683" s="106" t="n"/>
    </x:row>
    <x:row r="684" s="116" customFormat="1" ht="15.75" customHeight="1">
      <x:c r="G684" s="106" t="n"/>
      <x:c r="H684" s="106" t="n"/>
    </x:row>
    <x:row r="685" s="116" customFormat="1" ht="15.75" customHeight="1">
      <x:c r="G685" s="106" t="n"/>
      <x:c r="H685" s="106" t="n"/>
    </x:row>
    <x:row r="686" s="116" customFormat="1" ht="15.75" customHeight="1">
      <x:c r="G686" s="106" t="n"/>
      <x:c r="H686" s="106" t="n"/>
    </x:row>
    <x:row r="687" s="116" customFormat="1" ht="15.75" customHeight="1">
      <x:c r="G687" s="106" t="n"/>
      <x:c r="H687" s="106" t="n"/>
    </x:row>
    <x:row r="688" s="116" customFormat="1" ht="15.75" customHeight="1">
      <x:c r="G688" s="106" t="n"/>
      <x:c r="H688" s="106" t="n"/>
    </x:row>
    <x:row r="689" s="116" customFormat="1" ht="15.75" customHeight="1">
      <x:c r="G689" s="106" t="n"/>
      <x:c r="H689" s="106" t="n"/>
    </x:row>
    <x:row r="690" s="116" customFormat="1" ht="15.75" customHeight="1">
      <x:c r="G690" s="106" t="n"/>
      <x:c r="H690" s="106" t="n"/>
    </x:row>
    <x:row r="691" s="116" customFormat="1" ht="15.75" customHeight="1">
      <x:c r="G691" s="106" t="n"/>
      <x:c r="H691" s="106" t="n"/>
    </x:row>
    <x:row r="692" s="116" customFormat="1" ht="15.75" customHeight="1">
      <x:c r="G692" s="106" t="n"/>
      <x:c r="H692" s="106" t="n"/>
    </x:row>
    <x:row r="693" s="116" customFormat="1" ht="15.75" customHeight="1">
      <x:c r="G693" s="106" t="n"/>
      <x:c r="H693" s="106" t="n"/>
    </x:row>
    <x:row r="694" s="116" customFormat="1" ht="15.75" customHeight="1">
      <x:c r="G694" s="106" t="n"/>
      <x:c r="H694" s="106" t="n"/>
    </x:row>
    <x:row r="695" s="116" customFormat="1" ht="15.75" customHeight="1">
      <x:c r="G695" s="106" t="n"/>
      <x:c r="H695" s="106" t="n"/>
    </x:row>
    <x:row r="696" s="116" customFormat="1" ht="15.75" customHeight="1">
      <x:c r="G696" s="106" t="n"/>
      <x:c r="H696" s="106" t="n"/>
    </x:row>
    <x:row r="697" s="116" customFormat="1" ht="15.75" customHeight="1">
      <x:c r="G697" s="106" t="n"/>
      <x:c r="H697" s="106" t="n"/>
    </x:row>
    <x:row r="698" s="116" customFormat="1" ht="15.75" customHeight="1">
      <x:c r="G698" s="106" t="n"/>
      <x:c r="H698" s="106" t="n"/>
    </x:row>
    <x:row r="699" s="116" customFormat="1" ht="15.75" customHeight="1">
      <x:c r="G699" s="106" t="n"/>
      <x:c r="H699" s="106" t="n"/>
    </x:row>
    <x:row r="700" s="116" customFormat="1" ht="15.75" customHeight="1">
      <x:c r="G700" s="106" t="n"/>
      <x:c r="H700" s="106" t="n"/>
    </x:row>
    <x:row r="701" s="116" customFormat="1" ht="15.75" customHeight="1">
      <x:c r="G701" s="106" t="n"/>
      <x:c r="H701" s="106" t="n"/>
    </x:row>
    <x:row r="702" s="116" customFormat="1" ht="15.75" customHeight="1">
      <x:c r="G702" s="106" t="n"/>
      <x:c r="H702" s="106" t="n"/>
    </x:row>
    <x:row r="703" s="116" customFormat="1" ht="15.75" customHeight="1">
      <x:c r="G703" s="106" t="n"/>
      <x:c r="H703" s="106" t="n"/>
    </x:row>
    <x:row r="704" s="116" customFormat="1" ht="15.75" customHeight="1">
      <x:c r="G704" s="106" t="n"/>
      <x:c r="H704" s="106" t="n"/>
    </x:row>
    <x:row r="705" s="116" customFormat="1" ht="15.75" customHeight="1">
      <x:c r="G705" s="106" t="n"/>
      <x:c r="H705" s="106" t="n"/>
    </x:row>
    <x:row r="706" s="116" customFormat="1" ht="15.75" customHeight="1">
      <x:c r="G706" s="106" t="n"/>
      <x:c r="H706" s="106" t="n"/>
    </x:row>
    <x:row r="707" s="116" customFormat="1" ht="15.75" customHeight="1">
      <x:c r="G707" s="106" t="n"/>
      <x:c r="H707" s="106" t="n"/>
    </x:row>
    <x:row r="708" s="116" customFormat="1" ht="15.75" customHeight="1">
      <x:c r="G708" s="106" t="n"/>
      <x:c r="H708" s="106" t="n"/>
    </x:row>
    <x:row r="709" s="116" customFormat="1" ht="15.75" customHeight="1">
      <x:c r="G709" s="106" t="n"/>
      <x:c r="H709" s="106" t="n"/>
    </x:row>
    <x:row r="710" s="116" customFormat="1" ht="15.75" customHeight="1">
      <x:c r="G710" s="106" t="n"/>
      <x:c r="H710" s="106" t="n"/>
    </x:row>
    <x:row r="711" s="116" customFormat="1" ht="15.75" customHeight="1">
      <x:c r="G711" s="106" t="n"/>
      <x:c r="H711" s="106" t="n"/>
    </x:row>
    <x:row r="712" s="116" customFormat="1" ht="15.75" customHeight="1">
      <x:c r="G712" s="106" t="n"/>
      <x:c r="H712" s="106" t="n"/>
    </x:row>
    <x:row r="713" s="116" customFormat="1" ht="15.75" customHeight="1">
      <x:c r="G713" s="106" t="n"/>
      <x:c r="H713" s="106" t="n"/>
    </x:row>
    <x:row r="714" s="116" customFormat="1" ht="15.75" customHeight="1">
      <x:c r="G714" s="106" t="n"/>
      <x:c r="H714" s="106" t="n"/>
    </x:row>
    <x:row r="715" s="116" customFormat="1" ht="15.75" customHeight="1">
      <x:c r="G715" s="106" t="n"/>
      <x:c r="H715" s="106" t="n"/>
    </x:row>
    <x:row r="716" s="116" customFormat="1" ht="15.75" customHeight="1">
      <x:c r="G716" s="106" t="n"/>
      <x:c r="H716" s="106" t="n"/>
    </x:row>
    <x:row r="717" s="116" customFormat="1" ht="15.75" customHeight="1">
      <x:c r="G717" s="106" t="n"/>
      <x:c r="H717" s="106" t="n"/>
    </x:row>
    <x:row r="718" s="116" customFormat="1" ht="15.75" customHeight="1">
      <x:c r="G718" s="106" t="n"/>
      <x:c r="H718" s="106" t="n"/>
    </x:row>
    <x:row r="719" s="116" customFormat="1" ht="15.75" customHeight="1">
      <x:c r="G719" s="106" t="n"/>
      <x:c r="H719" s="106" t="n"/>
    </x:row>
    <x:row r="720" s="116" customFormat="1" ht="15.75" customHeight="1">
      <x:c r="G720" s="106" t="n"/>
      <x:c r="H720" s="106" t="n"/>
    </x:row>
    <x:row r="721" s="116" customFormat="1" ht="15.75" customHeight="1">
      <x:c r="G721" s="106" t="n"/>
      <x:c r="H721" s="106" t="n"/>
    </x:row>
    <x:row r="722" s="116" customFormat="1" ht="15.75" customHeight="1">
      <x:c r="G722" s="106" t="n"/>
      <x:c r="H722" s="106" t="n"/>
    </x:row>
    <x:row r="723" s="116" customFormat="1" ht="15.75" customHeight="1">
      <x:c r="G723" s="106" t="n"/>
      <x:c r="H723" s="106" t="n"/>
    </x:row>
    <x:row r="724" s="116" customFormat="1" ht="15.75" customHeight="1">
      <x:c r="G724" s="106" t="n"/>
      <x:c r="H724" s="106" t="n"/>
    </x:row>
    <x:row r="725" s="116" customFormat="1" ht="15.75" customHeight="1">
      <x:c r="G725" s="106" t="n"/>
      <x:c r="H725" s="106" t="n"/>
    </x:row>
    <x:row r="726" s="116" customFormat="1" ht="15.75" customHeight="1">
      <x:c r="G726" s="106" t="n"/>
      <x:c r="H726" s="106" t="n"/>
    </x:row>
    <x:row r="727" s="116" customFormat="1" ht="15.75" customHeight="1">
      <x:c r="G727" s="106" t="n"/>
      <x:c r="H727" s="106" t="n"/>
    </x:row>
    <x:row r="728" s="116" customFormat="1" ht="15.75" customHeight="1">
      <x:c r="G728" s="106" t="n"/>
      <x:c r="H728" s="106" t="n"/>
    </x:row>
    <x:row r="729" s="116" customFormat="1" ht="15.75" customHeight="1">
      <x:c r="G729" s="106" t="n"/>
      <x:c r="H729" s="106" t="n"/>
    </x:row>
    <x:row r="730" s="116" customFormat="1" ht="15.75" customHeight="1">
      <x:c r="G730" s="106" t="n"/>
      <x:c r="H730" s="106" t="n"/>
    </x:row>
    <x:row r="731" s="116" customFormat="1" ht="15.75" customHeight="1">
      <x:c r="G731" s="106" t="n"/>
      <x:c r="H731" s="106" t="n"/>
    </x:row>
    <x:row r="732" s="116" customFormat="1" ht="15.75" customHeight="1">
      <x:c r="G732" s="106" t="n"/>
      <x:c r="H732" s="106" t="n"/>
    </x:row>
    <x:row r="733" s="116" customFormat="1" ht="15.75" customHeight="1">
      <x:c r="G733" s="106" t="n"/>
      <x:c r="H733" s="106" t="n"/>
    </x:row>
    <x:row r="734" s="116" customFormat="1" ht="15.75" customHeight="1">
      <x:c r="G734" s="106" t="n"/>
      <x:c r="H734" s="106" t="n"/>
    </x:row>
    <x:row r="735" s="116" customFormat="1" ht="15.75" customHeight="1">
      <x:c r="G735" s="106" t="n"/>
      <x:c r="H735" s="106" t="n"/>
    </x:row>
    <x:row r="736" s="116" customFormat="1" ht="15.75" customHeight="1">
      <x:c r="G736" s="106" t="n"/>
      <x:c r="H736" s="106" t="n"/>
    </x:row>
    <x:row r="737" s="116" customFormat="1" ht="15.75" customHeight="1">
      <x:c r="G737" s="106" t="n"/>
      <x:c r="H737" s="106" t="n"/>
    </x:row>
    <x:row r="738" s="116" customFormat="1" ht="15.75" customHeight="1">
      <x:c r="G738" s="106" t="n"/>
      <x:c r="H738" s="106" t="n"/>
    </x:row>
    <x:row r="739" s="116" customFormat="1" ht="15.75" customHeight="1">
      <x:c r="G739" s="106" t="n"/>
      <x:c r="H739" s="106" t="n"/>
    </x:row>
    <x:row r="740" s="116" customFormat="1" ht="15.75" customHeight="1">
      <x:c r="G740" s="106" t="n"/>
      <x:c r="H740" s="106" t="n"/>
    </x:row>
    <x:row r="741" s="116" customFormat="1" ht="15.75" customHeight="1">
      <x:c r="G741" s="106" t="n"/>
      <x:c r="H741" s="106" t="n"/>
    </x:row>
    <x:row r="742" s="116" customFormat="1" ht="15.75" customHeight="1">
      <x:c r="G742" s="106" t="n"/>
      <x:c r="H742" s="106" t="n"/>
    </x:row>
    <x:row r="743" s="116" customFormat="1" ht="15.75" customHeight="1">
      <x:c r="G743" s="106" t="n"/>
      <x:c r="H743" s="106" t="n"/>
    </x:row>
    <x:row r="744" s="116" customFormat="1" ht="15.75" customHeight="1">
      <x:c r="G744" s="106" t="n"/>
      <x:c r="H744" s="106" t="n"/>
    </x:row>
    <x:row r="745" s="116" customFormat="1" ht="15.75" customHeight="1">
      <x:c r="G745" s="106" t="n"/>
      <x:c r="H745" s="106" t="n"/>
    </x:row>
    <x:row r="746" s="116" customFormat="1" ht="15.75" customHeight="1">
      <x:c r="G746" s="106" t="n"/>
      <x:c r="H746" s="106" t="n"/>
    </x:row>
    <x:row r="747" s="116" customFormat="1" ht="15.75" customHeight="1">
      <x:c r="G747" s="106" t="n"/>
      <x:c r="H747" s="106" t="n"/>
    </x:row>
    <x:row r="748" s="116" customFormat="1" ht="15.75" customHeight="1">
      <x:c r="G748" s="106" t="n"/>
      <x:c r="H748" s="106" t="n"/>
    </x:row>
    <x:row r="749" s="116" customFormat="1" ht="15.75" customHeight="1">
      <x:c r="G749" s="106" t="n"/>
      <x:c r="H749" s="106" t="n"/>
    </x:row>
    <x:row r="750" s="116" customFormat="1" ht="15.75" customHeight="1">
      <x:c r="G750" s="106" t="n"/>
      <x:c r="H750" s="106" t="n"/>
    </x:row>
    <x:row r="751" s="116" customFormat="1" ht="15.75" customHeight="1">
      <x:c r="G751" s="106" t="n"/>
      <x:c r="H751" s="106" t="n"/>
    </x:row>
    <x:row r="752" s="116" customFormat="1" ht="15.75" customHeight="1">
      <x:c r="G752" s="106" t="n"/>
      <x:c r="H752" s="106" t="n"/>
    </x:row>
    <x:row r="753" s="116" customFormat="1" ht="15.75" customHeight="1">
      <x:c r="G753" s="106" t="n"/>
      <x:c r="H753" s="106" t="n"/>
    </x:row>
    <x:row r="754" s="116" customFormat="1" ht="15.75" customHeight="1">
      <x:c r="G754" s="106" t="n"/>
      <x:c r="H754" s="106" t="n"/>
    </x:row>
    <x:row r="755" s="116" customFormat="1" ht="15.75" customHeight="1">
      <x:c r="G755" s="106" t="n"/>
      <x:c r="H755" s="106" t="n"/>
    </x:row>
    <x:row r="756" s="116" customFormat="1" ht="15.75" customHeight="1">
      <x:c r="G756" s="106" t="n"/>
      <x:c r="H756" s="106" t="n"/>
    </x:row>
    <x:row r="757" s="116" customFormat="1" ht="15.75" customHeight="1">
      <x:c r="G757" s="106" t="n"/>
      <x:c r="H757" s="106" t="n"/>
    </x:row>
    <x:row r="758" s="116" customFormat="1" ht="15.75" customHeight="1">
      <x:c r="G758" s="106" t="n"/>
      <x:c r="H758" s="106" t="n"/>
    </x:row>
    <x:row r="759" s="116" customFormat="1" ht="15.75" customHeight="1">
      <x:c r="G759" s="106" t="n"/>
      <x:c r="H759" s="106" t="n"/>
    </x:row>
    <x:row r="760" s="116" customFormat="1" ht="15.75" customHeight="1">
      <x:c r="G760" s="106" t="n"/>
      <x:c r="H760" s="106" t="n"/>
    </x:row>
    <x:row r="761" s="116" customFormat="1" ht="15.75" customHeight="1">
      <x:c r="G761" s="106" t="n"/>
      <x:c r="H761" s="106" t="n"/>
    </x:row>
    <x:row r="762" s="116" customFormat="1" ht="15.75" customHeight="1">
      <x:c r="G762" s="106" t="n"/>
      <x:c r="H762" s="106" t="n"/>
    </x:row>
    <x:row r="763" s="116" customFormat="1" ht="15.75" customHeight="1">
      <x:c r="G763" s="106" t="n"/>
      <x:c r="H763" s="106" t="n"/>
    </x:row>
    <x:row r="764" s="116" customFormat="1" ht="15.75" customHeight="1">
      <x:c r="G764" s="106" t="n"/>
      <x:c r="H764" s="106" t="n"/>
    </x:row>
    <x:row r="765" s="116" customFormat="1" ht="15.75" customHeight="1">
      <x:c r="G765" s="106" t="n"/>
      <x:c r="H765" s="106" t="n"/>
    </x:row>
    <x:row r="766" s="116" customFormat="1" ht="15.75" customHeight="1">
      <x:c r="G766" s="106" t="n"/>
      <x:c r="H766" s="106" t="n"/>
    </x:row>
    <x:row r="767" s="116" customFormat="1" ht="15.75" customHeight="1">
      <x:c r="G767" s="106" t="n"/>
      <x:c r="H767" s="106" t="n"/>
    </x:row>
    <x:row r="768" s="116" customFormat="1" ht="15.75" customHeight="1">
      <x:c r="G768" s="106" t="n"/>
      <x:c r="H768" s="106" t="n"/>
    </x:row>
    <x:row r="769" s="116" customFormat="1" ht="15.75" customHeight="1">
      <x:c r="G769" s="106" t="n"/>
      <x:c r="H769" s="106" t="n"/>
    </x:row>
    <x:row r="770" s="116" customFormat="1" ht="15.75" customHeight="1">
      <x:c r="G770" s="106" t="n"/>
      <x:c r="H770" s="106" t="n"/>
    </x:row>
    <x:row r="771" s="116" customFormat="1" ht="15.75" customHeight="1">
      <x:c r="G771" s="106" t="n"/>
      <x:c r="H771" s="106" t="n"/>
    </x:row>
    <x:row r="772" s="116" customFormat="1" ht="15.75" customHeight="1">
      <x:c r="G772" s="106" t="n"/>
      <x:c r="H772" s="106" t="n"/>
    </x:row>
    <x:row r="773" s="116" customFormat="1" ht="15.75" customHeight="1">
      <x:c r="G773" s="106" t="n"/>
      <x:c r="H773" s="106" t="n"/>
    </x:row>
    <x:row r="774" s="116" customFormat="1" ht="15.75" customHeight="1">
      <x:c r="G774" s="106" t="n"/>
      <x:c r="H774" s="106" t="n"/>
    </x:row>
    <x:row r="775" s="116" customFormat="1" ht="15.75" customHeight="1">
      <x:c r="G775" s="106" t="n"/>
      <x:c r="H775" s="106" t="n"/>
    </x:row>
    <x:row r="776" s="116" customFormat="1" ht="15.75" customHeight="1">
      <x:c r="G776" s="106" t="n"/>
      <x:c r="H776" s="106" t="n"/>
    </x:row>
    <x:row r="777" s="116" customFormat="1" ht="15.75" customHeight="1">
      <x:c r="G777" s="106" t="n"/>
      <x:c r="H777" s="106" t="n"/>
    </x:row>
    <x:row r="778" s="116" customFormat="1" ht="15.75" customHeight="1">
      <x:c r="G778" s="106" t="n"/>
      <x:c r="H778" s="106" t="n"/>
    </x:row>
    <x:row r="779" s="116" customFormat="1" ht="15.75" customHeight="1">
      <x:c r="G779" s="106" t="n"/>
      <x:c r="H779" s="106" t="n"/>
    </x:row>
    <x:row r="780" s="116" customFormat="1" ht="15.75" customHeight="1">
      <x:c r="G780" s="106" t="n"/>
      <x:c r="H780" s="106" t="n"/>
    </x:row>
    <x:row r="781" s="116" customFormat="1" ht="15.75" customHeight="1">
      <x:c r="G781" s="106" t="n"/>
      <x:c r="H781" s="106" t="n"/>
    </x:row>
    <x:row r="782" s="116" customFormat="1" ht="15.75" customHeight="1">
      <x:c r="G782" s="106" t="n"/>
      <x:c r="H782" s="106" t="n"/>
    </x:row>
    <x:row r="783" s="116" customFormat="1" ht="15.75" customHeight="1">
      <x:c r="G783" s="106" t="n"/>
      <x:c r="H783" s="106" t="n"/>
    </x:row>
    <x:row r="784" s="116" customFormat="1" ht="15.75" customHeight="1">
      <x:c r="G784" s="106" t="n"/>
      <x:c r="H784" s="106" t="n"/>
    </x:row>
    <x:row r="785" s="116" customFormat="1" ht="15.75" customHeight="1">
      <x:c r="G785" s="106" t="n"/>
      <x:c r="H785" s="106" t="n"/>
    </x:row>
    <x:row r="786" s="116" customFormat="1" ht="15.75" customHeight="1">
      <x:c r="G786" s="106" t="n"/>
      <x:c r="H786" s="106" t="n"/>
    </x:row>
    <x:row r="787" s="116" customFormat="1" ht="15.75" customHeight="1">
      <x:c r="G787" s="106" t="n"/>
      <x:c r="H787" s="106" t="n"/>
    </x:row>
    <x:row r="788" s="116" customFormat="1" ht="15.75" customHeight="1">
      <x:c r="G788" s="106" t="n"/>
      <x:c r="H788" s="106" t="n"/>
    </x:row>
    <x:row r="789" s="116" customFormat="1" ht="15.75" customHeight="1">
      <x:c r="G789" s="106" t="n"/>
      <x:c r="H789" s="106" t="n"/>
    </x:row>
    <x:row r="790" s="116" customFormat="1" ht="15.75" customHeight="1">
      <x:c r="G790" s="106" t="n"/>
      <x:c r="H790" s="106" t="n"/>
    </x:row>
    <x:row r="791" s="116" customFormat="1" ht="15.75" customHeight="1">
      <x:c r="G791" s="106" t="n"/>
      <x:c r="H791" s="106" t="n"/>
    </x:row>
    <x:row r="792" s="116" customFormat="1" ht="15.75" customHeight="1">
      <x:c r="G792" s="106" t="n"/>
      <x:c r="H792" s="106" t="n"/>
    </x:row>
    <x:row r="793" s="116" customFormat="1" ht="15.75" customHeight="1">
      <x:c r="G793" s="106" t="n"/>
      <x:c r="H793" s="106" t="n"/>
    </x:row>
    <x:row r="794" s="116" customFormat="1" ht="15.75" customHeight="1">
      <x:c r="G794" s="106" t="n"/>
      <x:c r="H794" s="106" t="n"/>
    </x:row>
    <x:row r="795" s="116" customFormat="1" ht="15.75" customHeight="1">
      <x:c r="G795" s="106" t="n"/>
      <x:c r="H795" s="106" t="n"/>
    </x:row>
    <x:row r="796" s="116" customFormat="1" ht="15.75" customHeight="1">
      <x:c r="G796" s="106" t="n"/>
      <x:c r="H796" s="106" t="n"/>
    </x:row>
    <x:row r="797" s="116" customFormat="1" ht="15.75" customHeight="1">
      <x:c r="G797" s="106" t="n"/>
      <x:c r="H797" s="106" t="n"/>
    </x:row>
    <x:row r="798" s="116" customFormat="1" ht="15.75" customHeight="1">
      <x:c r="G798" s="106" t="n"/>
      <x:c r="H798" s="106" t="n"/>
    </x:row>
    <x:row r="799" s="116" customFormat="1" ht="15.75" customHeight="1">
      <x:c r="G799" s="106" t="n"/>
      <x:c r="H799" s="106" t="n"/>
    </x:row>
    <x:row r="800" s="116" customFormat="1" ht="15.75" customHeight="1">
      <x:c r="G800" s="106" t="n"/>
      <x:c r="H800" s="106" t="n"/>
    </x:row>
    <x:row r="801" s="116" customFormat="1" ht="15.75" customHeight="1">
      <x:c r="G801" s="106" t="n"/>
      <x:c r="H801" s="106" t="n"/>
    </x:row>
    <x:row r="802" s="116" customFormat="1" ht="15.75" customHeight="1">
      <x:c r="G802" s="106" t="n"/>
      <x:c r="H802" s="106" t="n"/>
    </x:row>
    <x:row r="803" s="116" customFormat="1" ht="15.75" customHeight="1">
      <x:c r="G803" s="106" t="n"/>
      <x:c r="H803" s="106" t="n"/>
    </x:row>
    <x:row r="804" s="116" customFormat="1" ht="15.75" customHeight="1">
      <x:c r="G804" s="106" t="n"/>
      <x:c r="H804" s="106" t="n"/>
    </x:row>
    <x:row r="805" s="116" customFormat="1" ht="15.75" customHeight="1">
      <x:c r="G805" s="106" t="n"/>
      <x:c r="H805" s="106" t="n"/>
    </x:row>
    <x:row r="806" s="116" customFormat="1" ht="15.75" customHeight="1">
      <x:c r="G806" s="106" t="n"/>
      <x:c r="H806" s="106" t="n"/>
    </x:row>
    <x:row r="807" s="116" customFormat="1" ht="15.75" customHeight="1">
      <x:c r="G807" s="106" t="n"/>
      <x:c r="H807" s="106" t="n"/>
    </x:row>
    <x:row r="808" s="116" customFormat="1" ht="15.75" customHeight="1">
      <x:c r="G808" s="106" t="n"/>
      <x:c r="H808" s="106" t="n"/>
    </x:row>
    <x:row r="809" s="116" customFormat="1" ht="15.75" customHeight="1">
      <x:c r="G809" s="106" t="n"/>
      <x:c r="H809" s="106" t="n"/>
    </x:row>
    <x:row r="810" s="116" customFormat="1" ht="15.75" customHeight="1">
      <x:c r="G810" s="106" t="n"/>
      <x:c r="H810" s="106" t="n"/>
    </x:row>
    <x:row r="811" s="116" customFormat="1" ht="15.75" customHeight="1">
      <x:c r="G811" s="106" t="n"/>
      <x:c r="H811" s="106" t="n"/>
    </x:row>
    <x:row r="812" s="116" customFormat="1" ht="15.75" customHeight="1">
      <x:c r="G812" s="106" t="n"/>
      <x:c r="H812" s="106" t="n"/>
    </x:row>
    <x:row r="813" s="116" customFormat="1" ht="15.75" customHeight="1">
      <x:c r="G813" s="106" t="n"/>
      <x:c r="H813" s="106" t="n"/>
    </x:row>
    <x:row r="814" s="116" customFormat="1" ht="15.75" customHeight="1">
      <x:c r="G814" s="106" t="n"/>
      <x:c r="H814" s="106" t="n"/>
    </x:row>
    <x:row r="815" s="116" customFormat="1" ht="15.75" customHeight="1">
      <x:c r="G815" s="106" t="n"/>
      <x:c r="H815" s="106" t="n"/>
    </x:row>
    <x:row r="816" s="116" customFormat="1" ht="15.75" customHeight="1">
      <x:c r="G816" s="106" t="n"/>
      <x:c r="H816" s="106" t="n"/>
    </x:row>
    <x:row r="817" s="116" customFormat="1" ht="15.75" customHeight="1">
      <x:c r="G817" s="106" t="n"/>
      <x:c r="H817" s="106" t="n"/>
    </x:row>
    <x:row r="818" s="116" customFormat="1" ht="15.75" customHeight="1">
      <x:c r="G818" s="106" t="n"/>
      <x:c r="H818" s="106" t="n"/>
    </x:row>
    <x:row r="819" s="116" customFormat="1" ht="15.75" customHeight="1">
      <x:c r="G819" s="106" t="n"/>
      <x:c r="H819" s="106" t="n"/>
    </x:row>
    <x:row r="820" s="116" customFormat="1" ht="15.75" customHeight="1">
      <x:c r="G820" s="106" t="n"/>
      <x:c r="H820" s="106" t="n"/>
    </x:row>
    <x:row r="821" s="116" customFormat="1" ht="15.75" customHeight="1">
      <x:c r="G821" s="106" t="n"/>
      <x:c r="H821" s="106" t="n"/>
    </x:row>
    <x:row r="822" s="116" customFormat="1" ht="15.75" customHeight="1">
      <x:c r="G822" s="106" t="n"/>
      <x:c r="H822" s="106" t="n"/>
    </x:row>
    <x:row r="823" s="116" customFormat="1" ht="15.75" customHeight="1">
      <x:c r="G823" s="106" t="n"/>
      <x:c r="H823" s="106" t="n"/>
    </x:row>
    <x:row r="824" s="116" customFormat="1" ht="15.75" customHeight="1">
      <x:c r="G824" s="106" t="n"/>
      <x:c r="H824" s="106" t="n"/>
    </x:row>
    <x:row r="825" s="116" customFormat="1" ht="15.75" customHeight="1">
      <x:c r="G825" s="106" t="n"/>
      <x:c r="H825" s="106" t="n"/>
    </x:row>
    <x:row r="826" s="116" customFormat="1" ht="15.75" customHeight="1">
      <x:c r="G826" s="106" t="n"/>
      <x:c r="H826" s="106" t="n"/>
    </x:row>
    <x:row r="827" s="116" customFormat="1" ht="15.75" customHeight="1">
      <x:c r="G827" s="106" t="n"/>
      <x:c r="H827" s="106" t="n"/>
    </x:row>
    <x:row r="828" s="116" customFormat="1" ht="15.75" customHeight="1">
      <x:c r="G828" s="106" t="n"/>
      <x:c r="H828" s="106" t="n"/>
    </x:row>
    <x:row r="829" s="116" customFormat="1" ht="15.75" customHeight="1">
      <x:c r="G829" s="106" t="n"/>
      <x:c r="H829" s="106" t="n"/>
    </x:row>
    <x:row r="830" s="116" customFormat="1" ht="15.75" customHeight="1">
      <x:c r="G830" s="106" t="n"/>
      <x:c r="H830" s="106" t="n"/>
    </x:row>
    <x:row r="831" s="116" customFormat="1" ht="15.75" customHeight="1">
      <x:c r="G831" s="106" t="n"/>
      <x:c r="H831" s="106" t="n"/>
    </x:row>
    <x:row r="832" s="116" customFormat="1" ht="15.75" customHeight="1">
      <x:c r="G832" s="106" t="n"/>
      <x:c r="H832" s="106" t="n"/>
    </x:row>
    <x:row r="833" s="116" customFormat="1" ht="15.75" customHeight="1">
      <x:c r="G833" s="106" t="n"/>
      <x:c r="H833" s="106" t="n"/>
    </x:row>
    <x:row r="834" s="116" customFormat="1" ht="15.75" customHeight="1">
      <x:c r="G834" s="106" t="n"/>
      <x:c r="H834" s="106" t="n"/>
    </x:row>
    <x:row r="835" s="116" customFormat="1" ht="15.75" customHeight="1">
      <x:c r="G835" s="106" t="n"/>
      <x:c r="H835" s="106" t="n"/>
    </x:row>
    <x:row r="836" s="116" customFormat="1" ht="15.75" customHeight="1">
      <x:c r="G836" s="106" t="n"/>
      <x:c r="H836" s="106" t="n"/>
    </x:row>
    <x:row r="837" s="116" customFormat="1" ht="15.75" customHeight="1">
      <x:c r="G837" s="106" t="n"/>
      <x:c r="H837" s="106" t="n"/>
    </x:row>
    <x:row r="838" s="116" customFormat="1" ht="15.75" customHeight="1">
      <x:c r="G838" s="106" t="n"/>
      <x:c r="H838" s="106" t="n"/>
    </x:row>
    <x:row r="839" s="116" customFormat="1" ht="15.75" customHeight="1">
      <x:c r="G839" s="106" t="n"/>
      <x:c r="H839" s="106" t="n"/>
    </x:row>
    <x:row r="840" s="116" customFormat="1" ht="15.75" customHeight="1">
      <x:c r="G840" s="106" t="n"/>
      <x:c r="H840" s="106" t="n"/>
    </x:row>
    <x:row r="841" s="116" customFormat="1" ht="15.75" customHeight="1">
      <x:c r="G841" s="106" t="n"/>
      <x:c r="H841" s="106" t="n"/>
    </x:row>
    <x:row r="842" s="116" customFormat="1" ht="15.75" customHeight="1">
      <x:c r="G842" s="106" t="n"/>
      <x:c r="H842" s="106" t="n"/>
    </x:row>
    <x:row r="843" s="116" customFormat="1" ht="15.75" customHeight="1">
      <x:c r="G843" s="106" t="n"/>
      <x:c r="H843" s="106" t="n"/>
    </x:row>
    <x:row r="844" s="116" customFormat="1" ht="15.75" customHeight="1">
      <x:c r="G844" s="106" t="n"/>
      <x:c r="H844" s="106" t="n"/>
    </x:row>
    <x:row r="845" s="116" customFormat="1" ht="15.75" customHeight="1">
      <x:c r="G845" s="106" t="n"/>
      <x:c r="H845" s="106" t="n"/>
    </x:row>
    <x:row r="846" s="116" customFormat="1" ht="15.75" customHeight="1">
      <x:c r="G846" s="106" t="n"/>
      <x:c r="H846" s="106" t="n"/>
    </x:row>
    <x:row r="847" s="116" customFormat="1" ht="15.75" customHeight="1">
      <x:c r="G847" s="106" t="n"/>
      <x:c r="H847" s="106" t="n"/>
    </x:row>
    <x:row r="848" s="116" customFormat="1" ht="15.75" customHeight="1">
      <x:c r="G848" s="106" t="n"/>
      <x:c r="H848" s="106" t="n"/>
    </x:row>
    <x:row r="849" s="116" customFormat="1" ht="15.75" customHeight="1">
      <x:c r="G849" s="106" t="n"/>
      <x:c r="H849" s="106" t="n"/>
    </x:row>
    <x:row r="850" s="116" customFormat="1" ht="15.75" customHeight="1">
      <x:c r="G850" s="106" t="n"/>
      <x:c r="H850" s="106" t="n"/>
    </x:row>
    <x:row r="851" s="116" customFormat="1" ht="15.75" customHeight="1">
      <x:c r="G851" s="106" t="n"/>
      <x:c r="H851" s="106" t="n"/>
    </x:row>
    <x:row r="852" s="116" customFormat="1" ht="15.75" customHeight="1">
      <x:c r="G852" s="106" t="n"/>
      <x:c r="H852" s="106" t="n"/>
    </x:row>
    <x:row r="853" s="116" customFormat="1" ht="15.75" customHeight="1">
      <x:c r="G853" s="106" t="n"/>
      <x:c r="H853" s="106" t="n"/>
    </x:row>
    <x:row r="854" s="116" customFormat="1" ht="15.75" customHeight="1">
      <x:c r="G854" s="106" t="n"/>
      <x:c r="H854" s="106" t="n"/>
    </x:row>
    <x:row r="855" s="116" customFormat="1" ht="15.75" customHeight="1">
      <x:c r="G855" s="106" t="n"/>
      <x:c r="H855" s="106" t="n"/>
    </x:row>
    <x:row r="856" s="116" customFormat="1" ht="15.75" customHeight="1">
      <x:c r="G856" s="106" t="n"/>
      <x:c r="H856" s="106" t="n"/>
    </x:row>
    <x:row r="857" s="116" customFormat="1" ht="15.75" customHeight="1">
      <x:c r="G857" s="106" t="n"/>
      <x:c r="H857" s="106" t="n"/>
    </x:row>
    <x:row r="858" s="116" customFormat="1" ht="15.75" customHeight="1">
      <x:c r="G858" s="106" t="n"/>
      <x:c r="H858" s="106" t="n"/>
    </x:row>
    <x:row r="859" s="116" customFormat="1" ht="15.75" customHeight="1">
      <x:c r="G859" s="106" t="n"/>
      <x:c r="H859" s="106" t="n"/>
    </x:row>
    <x:row r="860" s="116" customFormat="1" ht="15.75" customHeight="1">
      <x:c r="G860" s="106" t="n"/>
      <x:c r="H860" s="106" t="n"/>
    </x:row>
    <x:row r="861" s="116" customFormat="1" ht="15.75" customHeight="1">
      <x:c r="G861" s="106" t="n"/>
      <x:c r="H861" s="106" t="n"/>
    </x:row>
    <x:row r="862" s="116" customFormat="1" ht="15.75" customHeight="1">
      <x:c r="G862" s="106" t="n"/>
      <x:c r="H862" s="106" t="n"/>
    </x:row>
    <x:row r="863" s="116" customFormat="1" ht="15.75" customHeight="1">
      <x:c r="G863" s="106" t="n"/>
      <x:c r="H863" s="106" t="n"/>
    </x:row>
    <x:row r="864" s="116" customFormat="1" ht="15.75" customHeight="1">
      <x:c r="G864" s="106" t="n"/>
      <x:c r="H864" s="106" t="n"/>
    </x:row>
    <x:row r="865" s="116" customFormat="1" ht="15.75" customHeight="1">
      <x:c r="G865" s="106" t="n"/>
      <x:c r="H865" s="106" t="n"/>
    </x:row>
    <x:row r="866" s="116" customFormat="1" ht="15.75" customHeight="1">
      <x:c r="G866" s="106" t="n"/>
      <x:c r="H866" s="106" t="n"/>
    </x:row>
    <x:row r="867" s="116" customFormat="1" ht="15.75" customHeight="1">
      <x:c r="G867" s="106" t="n"/>
      <x:c r="H867" s="106" t="n"/>
    </x:row>
    <x:row r="868" s="116" customFormat="1" ht="15.75" customHeight="1">
      <x:c r="G868" s="106" t="n"/>
      <x:c r="H868" s="106" t="n"/>
    </x:row>
    <x:row r="869" s="116" customFormat="1" ht="15.75" customHeight="1">
      <x:c r="G869" s="106" t="n"/>
      <x:c r="H869" s="106" t="n"/>
    </x:row>
    <x:row r="870" s="116" customFormat="1" ht="15.75" customHeight="1">
      <x:c r="G870" s="106" t="n"/>
      <x:c r="H870" s="106" t="n"/>
    </x:row>
    <x:row r="871" s="116" customFormat="1" ht="15.75" customHeight="1">
      <x:c r="G871" s="106" t="n"/>
      <x:c r="H871" s="106" t="n"/>
    </x:row>
    <x:row r="872" s="116" customFormat="1" ht="15.75" customHeight="1">
      <x:c r="G872" s="106" t="n"/>
      <x:c r="H872" s="106" t="n"/>
    </x:row>
    <x:row r="873" s="116" customFormat="1" ht="15.75" customHeight="1">
      <x:c r="G873" s="106" t="n"/>
      <x:c r="H873" s="106" t="n"/>
    </x:row>
    <x:row r="874" s="116" customFormat="1" ht="15.75" customHeight="1">
      <x:c r="G874" s="106" t="n"/>
      <x:c r="H874" s="106" t="n"/>
    </x:row>
    <x:row r="875" s="116" customFormat="1" ht="15.75" customHeight="1">
      <x:c r="G875" s="106" t="n"/>
      <x:c r="H875" s="106" t="n"/>
    </x:row>
    <x:row r="876" s="116" customFormat="1" ht="15.75" customHeight="1">
      <x:c r="G876" s="106" t="n"/>
      <x:c r="H876" s="106" t="n"/>
    </x:row>
    <x:row r="877" s="116" customFormat="1" ht="15.75" customHeight="1">
      <x:c r="G877" s="106" t="n"/>
      <x:c r="H877" s="106" t="n"/>
    </x:row>
    <x:row r="878" s="116" customFormat="1" ht="15.75" customHeight="1">
      <x:c r="G878" s="106" t="n"/>
      <x:c r="H878" s="106" t="n"/>
    </x:row>
    <x:row r="879" s="116" customFormat="1" ht="15.75" customHeight="1">
      <x:c r="G879" s="106" t="n"/>
      <x:c r="H879" s="106" t="n"/>
    </x:row>
    <x:row r="880" s="116" customFormat="1" ht="15.75" customHeight="1">
      <x:c r="G880" s="106" t="n"/>
      <x:c r="H880" s="106" t="n"/>
    </x:row>
    <x:row r="881" s="116" customFormat="1" ht="15.75" customHeight="1">
      <x:c r="G881" s="106" t="n"/>
      <x:c r="H881" s="106" t="n"/>
    </x:row>
    <x:row r="882" s="116" customFormat="1" ht="15.75" customHeight="1">
      <x:c r="G882" s="106" t="n"/>
      <x:c r="H882" s="106" t="n"/>
    </x:row>
    <x:row r="883" s="116" customFormat="1" ht="15.75" customHeight="1">
      <x:c r="G883" s="106" t="n"/>
      <x:c r="H883" s="106" t="n"/>
    </x:row>
    <x:row r="884" s="116" customFormat="1" ht="15.75" customHeight="1">
      <x:c r="G884" s="106" t="n"/>
      <x:c r="H884" s="106" t="n"/>
    </x:row>
    <x:row r="885" s="116" customFormat="1" ht="15.75" customHeight="1">
      <x:c r="G885" s="106" t="n"/>
      <x:c r="H885" s="106" t="n"/>
    </x:row>
    <x:row r="886" s="116" customFormat="1" ht="15.75" customHeight="1">
      <x:c r="G886" s="106" t="n"/>
      <x:c r="H886" s="106" t="n"/>
    </x:row>
    <x:row r="887" s="116" customFormat="1" ht="15.75" customHeight="1">
      <x:c r="G887" s="106" t="n"/>
      <x:c r="H887" s="106" t="n"/>
    </x:row>
    <x:row r="888" s="116" customFormat="1" ht="15.75" customHeight="1">
      <x:c r="G888" s="106" t="n"/>
      <x:c r="H888" s="106" t="n"/>
    </x:row>
    <x:row r="889" s="116" customFormat="1" ht="15.75" customHeight="1">
      <x:c r="G889" s="106" t="n"/>
      <x:c r="H889" s="106" t="n"/>
    </x:row>
    <x:row r="890" s="116" customFormat="1" ht="15.75" customHeight="1">
      <x:c r="G890" s="106" t="n"/>
      <x:c r="H890" s="106" t="n"/>
    </x:row>
    <x:row r="891" s="116" customFormat="1" ht="15.75" customHeight="1">
      <x:c r="G891" s="106" t="n"/>
      <x:c r="H891" s="106" t="n"/>
    </x:row>
    <x:row r="892" s="116" customFormat="1" ht="15.75" customHeight="1">
      <x:c r="G892" s="106" t="n"/>
      <x:c r="H892" s="106" t="n"/>
    </x:row>
    <x:row r="893" s="116" customFormat="1" ht="15.75" customHeight="1">
      <x:c r="G893" s="106" t="n"/>
      <x:c r="H893" s="106" t="n"/>
    </x:row>
    <x:row r="894" s="116" customFormat="1" ht="15.75" customHeight="1">
      <x:c r="G894" s="106" t="n"/>
      <x:c r="H894" s="106" t="n"/>
    </x:row>
    <x:row r="895" s="116" customFormat="1" ht="15.75" customHeight="1">
      <x:c r="G895" s="106" t="n"/>
      <x:c r="H895" s="106" t="n"/>
    </x:row>
    <x:row r="896" s="116" customFormat="1" ht="15.75" customHeight="1">
      <x:c r="G896" s="106" t="n"/>
      <x:c r="H896" s="106" t="n"/>
    </x:row>
    <x:row r="897" s="116" customFormat="1" ht="15.75" customHeight="1">
      <x:c r="G897" s="106" t="n"/>
      <x:c r="H897" s="106" t="n"/>
    </x:row>
    <x:row r="898" s="116" customFormat="1" ht="15.75" customHeight="1">
      <x:c r="G898" s="106" t="n"/>
      <x:c r="H898" s="106" t="n"/>
    </x:row>
    <x:row r="899" s="116" customFormat="1" ht="15.75" customHeight="1">
      <x:c r="G899" s="106" t="n"/>
      <x:c r="H899" s="106" t="n"/>
    </x:row>
    <x:row r="900" s="116" customFormat="1" ht="15.75" customHeight="1">
      <x:c r="G900" s="106" t="n"/>
      <x:c r="H900" s="106" t="n"/>
    </x:row>
    <x:row r="901" s="116" customFormat="1" ht="15.75" customHeight="1">
      <x:c r="G901" s="106" t="n"/>
      <x:c r="H901" s="106" t="n"/>
    </x:row>
    <x:row r="902" s="116" customFormat="1" ht="15.75" customHeight="1">
      <x:c r="G902" s="106" t="n"/>
      <x:c r="H902" s="106" t="n"/>
    </x:row>
    <x:row r="903" s="116" customFormat="1" ht="15.75" customHeight="1">
      <x:c r="G903" s="106" t="n"/>
      <x:c r="H903" s="106" t="n"/>
    </x:row>
    <x:row r="904" s="116" customFormat="1" ht="15.75" customHeight="1">
      <x:c r="G904" s="106" t="n"/>
      <x:c r="H904" s="106" t="n"/>
    </x:row>
    <x:row r="905" s="116" customFormat="1" ht="15.75" customHeight="1">
      <x:c r="G905" s="106" t="n"/>
      <x:c r="H905" s="106" t="n"/>
    </x:row>
    <x:row r="906" s="116" customFormat="1" ht="15.75" customHeight="1">
      <x:c r="G906" s="106" t="n"/>
      <x:c r="H906" s="106" t="n"/>
    </x:row>
    <x:row r="907" s="116" customFormat="1" ht="15.75" customHeight="1">
      <x:c r="G907" s="106" t="n"/>
      <x:c r="H907" s="106" t="n"/>
    </x:row>
    <x:row r="908" s="116" customFormat="1" ht="15.75" customHeight="1">
      <x:c r="G908" s="106" t="n"/>
      <x:c r="H908" s="106" t="n"/>
    </x:row>
    <x:row r="909" s="116" customFormat="1" ht="15.75" customHeight="1">
      <x:c r="G909" s="106" t="n"/>
      <x:c r="H909" s="106" t="n"/>
    </x:row>
    <x:row r="910" s="116" customFormat="1" ht="15.75" customHeight="1">
      <x:c r="G910" s="106" t="n"/>
      <x:c r="H910" s="106" t="n"/>
    </x:row>
    <x:row r="911" s="116" customFormat="1" ht="15.75" customHeight="1">
      <x:c r="G911" s="106" t="n"/>
      <x:c r="H911" s="106" t="n"/>
    </x:row>
    <x:row r="912" s="116" customFormat="1" ht="15.75" customHeight="1">
      <x:c r="G912" s="106" t="n"/>
      <x:c r="H912" s="106" t="n"/>
    </x:row>
    <x:row r="913" s="116" customFormat="1" ht="15.75" customHeight="1">
      <x:c r="G913" s="106" t="n"/>
      <x:c r="H913" s="106" t="n"/>
    </x:row>
    <x:row r="914" s="116" customFormat="1" ht="15.75" customHeight="1">
      <x:c r="G914" s="106" t="n"/>
      <x:c r="H914" s="106" t="n"/>
    </x:row>
    <x:row r="915" s="116" customFormat="1" ht="15.75" customHeight="1">
      <x:c r="G915" s="106" t="n"/>
      <x:c r="H915" s="106" t="n"/>
    </x:row>
    <x:row r="916" s="116" customFormat="1" ht="15.75" customHeight="1">
      <x:c r="G916" s="106" t="n"/>
      <x:c r="H916" s="106" t="n"/>
    </x:row>
    <x:row r="917" s="116" customFormat="1" ht="15.75" customHeight="1">
      <x:c r="G917" s="106" t="n"/>
      <x:c r="H917" s="106" t="n"/>
    </x:row>
    <x:row r="918" s="116" customFormat="1" ht="15.75" customHeight="1">
      <x:c r="G918" s="106" t="n"/>
      <x:c r="H918" s="106" t="n"/>
    </x:row>
    <x:row r="919" s="116" customFormat="1" ht="15.75" customHeight="1">
      <x:c r="G919" s="106" t="n"/>
      <x:c r="H919" s="106" t="n"/>
    </x:row>
    <x:row r="920" s="116" customFormat="1" ht="15.75" customHeight="1">
      <x:c r="G920" s="106" t="n"/>
      <x:c r="H920" s="106" t="n"/>
    </x:row>
    <x:row r="921" s="116" customFormat="1" ht="15.75" customHeight="1">
      <x:c r="G921" s="106" t="n"/>
      <x:c r="H921" s="106" t="n"/>
    </x:row>
    <x:row r="922" s="116" customFormat="1" ht="15.75" customHeight="1">
      <x:c r="G922" s="106" t="n"/>
      <x:c r="H922" s="106" t="n"/>
    </x:row>
    <x:row r="923" s="116" customFormat="1" ht="15.75" customHeight="1">
      <x:c r="G923" s="106" t="n"/>
      <x:c r="H923" s="106" t="n"/>
    </x:row>
    <x:row r="924" s="116" customFormat="1" ht="15.75" customHeight="1">
      <x:c r="G924" s="106" t="n"/>
      <x:c r="H924" s="106" t="n"/>
    </x:row>
    <x:row r="925" s="116" customFormat="1" ht="15.75" customHeight="1">
      <x:c r="G925" s="106" t="n"/>
      <x:c r="H925" s="106" t="n"/>
    </x:row>
    <x:row r="926" s="116" customFormat="1" ht="15.75" customHeight="1">
      <x:c r="G926" s="106" t="n"/>
      <x:c r="H926" s="106" t="n"/>
    </x:row>
    <x:row r="927" s="116" customFormat="1" ht="15.75" customHeight="1">
      <x:c r="G927" s="106" t="n"/>
      <x:c r="H927" s="106" t="n"/>
    </x:row>
    <x:row r="928" s="116" customFormat="1" ht="15.75" customHeight="1">
      <x:c r="G928" s="106" t="n"/>
      <x:c r="H928" s="106" t="n"/>
    </x:row>
    <x:row r="929" s="116" customFormat="1" ht="15.75" customHeight="1">
      <x:c r="G929" s="106" t="n"/>
      <x:c r="H929" s="106" t="n"/>
    </x:row>
    <x:row r="930" s="116" customFormat="1" ht="15.75" customHeight="1">
      <x:c r="G930" s="106" t="n"/>
      <x:c r="H930" s="106" t="n"/>
    </x:row>
    <x:row r="931" s="116" customFormat="1" ht="15.75" customHeight="1">
      <x:c r="G931" s="106" t="n"/>
      <x:c r="H931" s="106" t="n"/>
    </x:row>
    <x:row r="932" s="116" customFormat="1" ht="15.75" customHeight="1">
      <x:c r="G932" s="106" t="n"/>
      <x:c r="H932" s="106" t="n"/>
    </x:row>
    <x:row r="933" s="116" customFormat="1" ht="15.75" customHeight="1">
      <x:c r="G933" s="106" t="n"/>
      <x:c r="H933" s="106" t="n"/>
    </x:row>
    <x:row r="934" s="116" customFormat="1" ht="15.75" customHeight="1">
      <x:c r="G934" s="106" t="n"/>
      <x:c r="H934" s="106" t="n"/>
    </x:row>
    <x:row r="935" s="116" customFormat="1" ht="15.75" customHeight="1">
      <x:c r="G935" s="106" t="n"/>
      <x:c r="H935" s="106" t="n"/>
    </x:row>
    <x:row r="936" s="116" customFormat="1" ht="15.75" customHeight="1">
      <x:c r="G936" s="106" t="n"/>
      <x:c r="H936" s="106" t="n"/>
    </x:row>
    <x:row r="937" s="116" customFormat="1" ht="15.75" customHeight="1">
      <x:c r="G937" s="106" t="n"/>
      <x:c r="H937" s="106" t="n"/>
    </x:row>
    <x:row r="938" s="116" customFormat="1" ht="15.75" customHeight="1">
      <x:c r="G938" s="106" t="n"/>
      <x:c r="H938" s="106" t="n"/>
    </x:row>
    <x:row r="939" s="116" customFormat="1" ht="15.75" customHeight="1">
      <x:c r="G939" s="106" t="n"/>
      <x:c r="H939" s="106" t="n"/>
    </x:row>
    <x:row r="940" s="116" customFormat="1" ht="15.75" customHeight="1">
      <x:c r="G940" s="106" t="n"/>
      <x:c r="H940" s="106" t="n"/>
    </x:row>
    <x:row r="941" s="116" customFormat="1" ht="15.75" customHeight="1">
      <x:c r="G941" s="106" t="n"/>
      <x:c r="H941" s="106" t="n"/>
    </x:row>
    <x:row r="942" s="116" customFormat="1" ht="15.75" customHeight="1">
      <x:c r="G942" s="106" t="n"/>
      <x:c r="H942" s="106" t="n"/>
    </x:row>
    <x:row r="943" s="116" customFormat="1" ht="15.75" customHeight="1">
      <x:c r="G943" s="106" t="n"/>
      <x:c r="H943" s="106" t="n"/>
    </x:row>
    <x:row r="944" s="116" customFormat="1" ht="15.75" customHeight="1">
      <x:c r="G944" s="106" t="n"/>
      <x:c r="H944" s="106" t="n"/>
    </x:row>
    <x:row r="945" s="116" customFormat="1" ht="15.75" customHeight="1">
      <x:c r="G945" s="106" t="n"/>
      <x:c r="H945" s="106" t="n"/>
    </x:row>
    <x:row r="946" s="116" customFormat="1" ht="15.75" customHeight="1">
      <x:c r="G946" s="106" t="n"/>
      <x:c r="H946" s="106" t="n"/>
    </x:row>
    <x:row r="947" s="116" customFormat="1" ht="15.75" customHeight="1">
      <x:c r="G947" s="106" t="n"/>
      <x:c r="H947" s="106" t="n"/>
    </x:row>
    <x:row r="948" s="116" customFormat="1" ht="15.75" customHeight="1">
      <x:c r="G948" s="106" t="n"/>
      <x:c r="H948" s="106" t="n"/>
    </x:row>
    <x:row r="949" s="116" customFormat="1" ht="15.75" customHeight="1">
      <x:c r="G949" s="106" t="n"/>
      <x:c r="H949" s="106" t="n"/>
    </x:row>
    <x:row r="950" s="116" customFormat="1" ht="15.75" customHeight="1">
      <x:c r="G950" s="106" t="n"/>
      <x:c r="H950" s="106" t="n"/>
    </x:row>
    <x:row r="951" s="116" customFormat="1" ht="15.75" customHeight="1">
      <x:c r="G951" s="106" t="n"/>
      <x:c r="H951" s="106" t="n"/>
    </x:row>
    <x:row r="952" s="116" customFormat="1" ht="15.75" customHeight="1">
      <x:c r="G952" s="106" t="n"/>
      <x:c r="H952" s="106" t="n"/>
    </x:row>
    <x:row r="953" s="116" customFormat="1" ht="15.75" customHeight="1">
      <x:c r="G953" s="106" t="n"/>
      <x:c r="H953" s="106" t="n"/>
    </x:row>
    <x:row r="954" s="116" customFormat="1" ht="15.75" customHeight="1">
      <x:c r="G954" s="106" t="n"/>
      <x:c r="H954" s="106" t="n"/>
    </x:row>
    <x:row r="955" s="116" customFormat="1" ht="15.75" customHeight="1">
      <x:c r="G955" s="106" t="n"/>
      <x:c r="H955" s="106" t="n"/>
    </x:row>
    <x:row r="956" s="116" customFormat="1" ht="15.75" customHeight="1">
      <x:c r="G956" s="106" t="n"/>
      <x:c r="H956" s="106" t="n"/>
    </x:row>
    <x:row r="957" s="116" customFormat="1" ht="15.75" customHeight="1">
      <x:c r="G957" s="106" t="n"/>
      <x:c r="H957" s="106" t="n"/>
    </x:row>
    <x:row r="958" s="116" customFormat="1" ht="15.75" customHeight="1">
      <x:c r="G958" s="106" t="n"/>
      <x:c r="H958" s="106" t="n"/>
    </x:row>
    <x:row r="959" s="116" customFormat="1" ht="15.75" customHeight="1">
      <x:c r="G959" s="106" t="n"/>
      <x:c r="H959" s="106" t="n"/>
    </x:row>
    <x:row r="960" s="116" customFormat="1" ht="15.75" customHeight="1">
      <x:c r="G960" s="106" t="n"/>
      <x:c r="H960" s="106" t="n"/>
    </x:row>
    <x:row r="961" s="116" customFormat="1" ht="15.75" customHeight="1">
      <x:c r="G961" s="106" t="n"/>
      <x:c r="H961" s="106" t="n"/>
    </x:row>
    <x:row r="962" s="116" customFormat="1" ht="15.75" customHeight="1">
      <x:c r="G962" s="106" t="n"/>
      <x:c r="H962" s="106" t="n"/>
    </x:row>
    <x:row r="963" s="116" customFormat="1" ht="15.75" customHeight="1">
      <x:c r="G963" s="106" t="n"/>
      <x:c r="H963" s="106" t="n"/>
    </x:row>
    <x:row r="964" s="116" customFormat="1" ht="15.75" customHeight="1">
      <x:c r="G964" s="106" t="n"/>
      <x:c r="H964" s="106" t="n"/>
    </x:row>
    <x:row r="965" s="116" customFormat="1" ht="15.75" customHeight="1">
      <x:c r="G965" s="106" t="n"/>
      <x:c r="H965" s="106" t="n"/>
    </x:row>
    <x:row r="966" s="116" customFormat="1" ht="15.75" customHeight="1">
      <x:c r="G966" s="106" t="n"/>
      <x:c r="H966" s="106" t="n"/>
    </x:row>
    <x:row r="967" s="116" customFormat="1" ht="15.75" customHeight="1">
      <x:c r="G967" s="106" t="n"/>
      <x:c r="H967" s="106" t="n"/>
    </x:row>
    <x:row r="968" s="116" customFormat="1" ht="15.75" customHeight="1">
      <x:c r="G968" s="106" t="n"/>
      <x:c r="H968" s="106" t="n"/>
    </x:row>
    <x:row r="969" s="116" customFormat="1" ht="15.75" customHeight="1">
      <x:c r="G969" s="106" t="n"/>
      <x:c r="H969" s="106" t="n"/>
    </x:row>
    <x:row r="970" s="116" customFormat="1" ht="15.75" customHeight="1">
      <x:c r="G970" s="106" t="n"/>
      <x:c r="H970" s="106" t="n"/>
    </x:row>
    <x:row r="971" s="116" customFormat="1" ht="15.75" customHeight="1">
      <x:c r="G971" s="106" t="n"/>
      <x:c r="H971" s="106" t="n"/>
    </x:row>
    <x:row r="972" s="116" customFormat="1" ht="15.75" customHeight="1">
      <x:c r="G972" s="106" t="n"/>
      <x:c r="H972" s="106" t="n"/>
    </x:row>
    <x:row r="973" s="116" customFormat="1" ht="15.75" customHeight="1">
      <x:c r="G973" s="106" t="n"/>
      <x:c r="H973" s="106" t="n"/>
    </x:row>
    <x:row r="974" s="116" customFormat="1" ht="15.75" customHeight="1">
      <x:c r="G974" s="106" t="n"/>
      <x:c r="H974" s="106" t="n"/>
    </x:row>
    <x:row r="975" s="116" customFormat="1" ht="15.75" customHeight="1">
      <x:c r="G975" s="106" t="n"/>
      <x:c r="H975" s="106" t="n"/>
    </x:row>
    <x:row r="976" s="116" customFormat="1" ht="15.75" customHeight="1">
      <x:c r="G976" s="106" t="n"/>
      <x:c r="H976" s="106" t="n"/>
    </x:row>
    <x:row r="977" s="116" customFormat="1" ht="15.75" customHeight="1">
      <x:c r="G977" s="106" t="n"/>
      <x:c r="H977" s="106" t="n"/>
    </x:row>
    <x:row r="978" s="116" customFormat="1" ht="15.75" customHeight="1">
      <x:c r="G978" s="106" t="n"/>
      <x:c r="H978" s="106" t="n"/>
    </x:row>
    <x:row r="979" s="116" customFormat="1" ht="15.75" customHeight="1">
      <x:c r="G979" s="106" t="n"/>
      <x:c r="H979" s="106" t="n"/>
    </x:row>
    <x:row r="980" s="116" customFormat="1" ht="15.75" customHeight="1">
      <x:c r="G980" s="106" t="n"/>
      <x:c r="H980" s="106" t="n"/>
    </x:row>
    <x:row r="981" s="116" customFormat="1" ht="15.75" customHeight="1">
      <x:c r="G981" s="106" t="n"/>
      <x:c r="H981" s="106" t="n"/>
    </x:row>
    <x:row r="982" s="116" customFormat="1" ht="15.75" customHeight="1">
      <x:c r="G982" s="106" t="n"/>
      <x:c r="H982" s="106" t="n"/>
    </x:row>
    <x:row r="983" s="116" customFormat="1" ht="15.75" customHeight="1">
      <x:c r="G983" s="106" t="n"/>
      <x:c r="H983" s="106" t="n"/>
    </x:row>
    <x:row r="984" s="116" customFormat="1" ht="15.75" customHeight="1">
      <x:c r="G984" s="106" t="n"/>
      <x:c r="H984" s="106" t="n"/>
    </x:row>
    <x:row r="985" s="116" customFormat="1" ht="15.75" customHeight="1">
      <x:c r="G985" s="106" t="n"/>
      <x:c r="H985" s="106" t="n"/>
    </x:row>
    <x:row r="986" s="116" customFormat="1" ht="15.75" customHeight="1">
      <x:c r="G986" s="106" t="n"/>
      <x:c r="H986" s="106" t="n"/>
    </x:row>
  </x:sheetData>
  <x:mergeCells>
    <x:mergeCell ref="A1:D2"/>
    <x:mergeCell ref="C6:D6"/>
    <x:mergeCell ref="A15:B15"/>
    <x:mergeCell ref="C15:D15"/>
    <x:mergeCell ref="A11:B11"/>
    <x:mergeCell ref="C5:D5"/>
    <x:mergeCell ref="C14:D14"/>
    <x:mergeCell ref="A6:B6"/>
    <x:mergeCell ref="C10:D10"/>
    <x:mergeCell ref="A7:B7"/>
    <x:mergeCell ref="C9:D9"/>
    <x:mergeCell ref="A12:B12"/>
    <x:mergeCell ref="C12:D12"/>
    <x:mergeCell ref="C11:D11"/>
    <x:mergeCell ref="A5:B5"/>
    <x:mergeCell ref="A14:B14"/>
    <x:mergeCell ref="A8:B8"/>
    <x:mergeCell ref="C8:D8"/>
    <x:mergeCell ref="C7:D7"/>
    <x:mergeCell ref="A3:D3"/>
    <x:mergeCell ref="A10:B10"/>
    <x:mergeCell ref="A13:B13"/>
    <x:mergeCell ref="C13:D13"/>
    <x:mergeCell ref="A9:B9"/>
  </x:mergeCells>
  <x:conditionalFormatting sqref="A20:I31 J2:J7 J9:J9 J11:J13">
    <x:cfRule type="expression" dxfId="1" priority="1">
      <x:formula>MOD(ROW(),2)=0</x:formula>
    </x:cfRule>
  </x:conditionalFormatting>
  <x:pageMargins left="0.7" right="0.7" top="0.75" bottom="0.75" header="0.3" footer="0.3"/>
</x:worksheet>
</file>

<file path=xl/worksheets/sheet6.xml><?xml version="1.0" encoding="utf-8"?>
<x:worksheet xmlns:x="http://schemas.openxmlformats.org/spreadsheetml/2006/main">
  <x:sheetFormatPr baseColWidth="8" defaultColWidth="14.430000305175781" defaultRowHeight="15"/>
  <x:sheetData>
    <x:row r="1">
      <x:c r="A1" s="49" t="inlineStr">
        <x:is>
          <x:t xml:space="preserve">Cold SMS</x:t>
        </x:is>
      </x:c>
      <x:c r="D1" s="49" t="inlineStr">
        <x:is>
          <x:t xml:space="preserve">Ads</x:t>
        </x:is>
      </x:c>
    </x:row>
    <x:row r="2">
      <x:c r="A2" s="49" t="inlineStr">
        <x:is>
          <x:t xml:space="preserve">Booked</x:t>
        </x:is>
      </x:c>
      <x:c r="B2" s="48">
        <x:f>COUNTIF('All Booked Calls Data'!D:D,"Cold SMS")</x:f>
        <x:v>105</x:v>
      </x:c>
      <x:c r="D2" s="49" t="inlineStr">
        <x:is>
          <x:t xml:space="preserve">Booked</x:t>
        </x:is>
      </x:c>
      <x:c r="E2" s="48">
        <x:f>COUNTIF('All Booked Calls Data'!D:D,"Ads")</x:f>
        <x:v>35</x:v>
      </x:c>
    </x:row>
    <x:row r="3">
      <x:c r="A3" s="49" t="inlineStr">
        <x:is>
          <x:t xml:space="preserve">Shows</x:t>
        </x:is>
      </x:c>
      <x:c r="B3" s="48">
        <x:f>COUNTIFS(
  'All Booked Calls Data'!F:F,"Showed",
  'All Booked Calls Data'!D:D,"Cold SMS"
)</x:f>
        <x:v>50</x:v>
      </x:c>
      <x:c r="D3" s="49" t="inlineStr">
        <x:is>
          <x:t xml:space="preserve">Shows</x:t>
        </x:is>
      </x:c>
      <x:c r="E3" s="48">
        <x:f>COUNTIFS(
  'All Booked Calls Data'!F:F,"Showed",
  'All Booked Calls Data'!D:D,"Ads"
)</x:f>
        <x:v>10</x:v>
      </x:c>
    </x:row>
    <x:row r="4">
      <x:c r="A4" s="49" t="inlineStr">
        <x:is>
          <x:t xml:space="preserve">Closes</x:t>
        </x:is>
      </x:c>
      <x:c r="B4" s="48" t="e">
        <x:f>COUNTIFS(
  'All Booked Calls Data'!G:G,"Closed",
  'All Booked Calls Data'!D:D,"Cold SMS"
)</x:f>
      </x:c>
      <x:c r="D4" s="49" t="inlineStr">
        <x:is>
          <x:t xml:space="preserve">Closes</x:t>
        </x:is>
      </x:c>
      <x:c r="E4" s="48" t="e">
        <x:f>COUNTIFS(
  'All Booked Calls Data'!G:G,"Closed",
  'All Booked Calls Data'!D:D,"Ads"
)</x:f>
      </x:c>
    </x:row>
    <x:row r="5">
      <x:c r="A5" s="49" t="inlineStr">
        <x:is>
          <x:t xml:space="preserve">Cash Collected</x:t>
        </x:is>
      </x:c>
      <x:c r="B5" s="48">
        <x:f>SUMIF(
  'All Booked Calls Data'!D:D,
  "Cold SMS",
  'All Booked Calls Data'!I:I
)</x:f>
        <x:v>15400</x:v>
      </x:c>
      <x:c r="D5" s="49" t="inlineStr">
        <x:is>
          <x:t xml:space="preserve">Cash Collected</x:t>
        </x:is>
      </x:c>
      <x:c r="E5" s="48">
        <x:f>SUMIF(
  'All Booked Calls Data'!D:D,
  "Ads",
  'All Booked Calls Data'!I:I
)</x:f>
        <x:v>3500</x:v>
      </x:c>
    </x:row>
    <x:row r="6">
      <x:c r="A6" s="49" t="inlineStr">
        <x:is>
          <x:t xml:space="preserve">Show %</x:t>
        </x:is>
      </x:c>
      <x:c r="B6" s="106">
        <x:f>B3/B2</x:f>
        <x:v>0.47619047619047616</x:v>
      </x:c>
      <x:c r="D6" s="49" t="inlineStr">
        <x:is>
          <x:t xml:space="preserve">Show %</x:t>
        </x:is>
      </x:c>
      <x:c r="E6" s="106">
        <x:f>E3/E2</x:f>
        <x:v>0.2857142857142857</x:v>
      </x:c>
    </x:row>
    <x:row r="7">
      <x:c r="A7" s="49" t="inlineStr">
        <x:is>
          <x:t xml:space="preserve">Closing %</x:t>
        </x:is>
      </x:c>
      <x:c r="B7" s="106" t="e">
        <x:f>B4/B3</x:f>
      </x:c>
      <x:c r="D7" s="49" t="inlineStr">
        <x:is>
          <x:t xml:space="preserve">Closing %</x:t>
        </x:is>
      </x:c>
      <x:c r="E7" s="106" t="e">
        <x:f>E4/E3</x:f>
      </x:c>
    </x:row>
    <x:row r="8">
      <x:c r="A8" s="49" t="inlineStr">
        <x:is>
          <x:t xml:space="preserve">CC per Close</x:t>
        </x:is>
      </x:c>
      <x:c r="B8" s="48" t="e">
        <x:f>B5/B4</x:f>
      </x:c>
      <x:c r="D8" s="49" t="inlineStr">
        <x:is>
          <x:t xml:space="preserve">CC per Close</x:t>
        </x:is>
      </x:c>
      <x:c r="E8" s="48" t="e">
        <x:f>E5/E4</x:f>
      </x:c>
    </x:row>
    <x:row r="10">
      <x:c r="E10" s="48" t="inlineStr">
        <x:is>
          <x:t xml:space="preserve"> </x:t>
        </x:is>
      </x:c>
    </x:row>
    <x:row r="17">
      <x:c r="E17" s="48" t="inlineStr">
        <x:is>
          <x:t xml:space="preserve">   </x:t>
        </x:is>
      </x:c>
    </x:row>
  </x:sheetData>
  <x:pageMargins left="0.7" right="0.7" top="0.75" bottom="0.75" header="0.3" footer="0.3"/>
</x:worksheet>
</file>

<file path=xl/worksheets/sheet7.xml><?xml version="1.0" encoding="utf-8"?>
<x:worksheet xmlns:x="http://schemas.openxmlformats.org/spreadsheetml/2006/main">
  <x:sheetFormatPr baseColWidth="8" defaultColWidth="14.430000305175781" defaultRowHeight="15"/>
  <x:cols>
    <x:col min="1" max="1" width="40.43000030517578" style="116" customWidth="1"/>
  </x:cols>
  <x:sheetData>
    <x:row r="1">
      <x:c r="A1" s="48" t="inlineStr">
        <x:is>
          <x:t xml:space="preserve">Title</x:t>
        </x:is>
      </x:c>
      <x:c r="B1" s="48" t="inlineStr">
        <x:is>
          <x:t xml:space="preserve">Scheduled</x:t>
        </x:is>
      </x:c>
      <x:c r="C1" s="48" t="inlineStr">
        <x:is>
          <x:t xml:space="preserve">RecordingStart</x:t>
        </x:is>
      </x:c>
      <x:c r="D1" s="48" t="inlineStr">
        <x:is>
          <x:t xml:space="preserve">CreatedAt</x:t>
        </x:is>
      </x:c>
      <x:c r="E1" s="48" t="inlineStr">
        <x:is>
          <x:t xml:space="preserve">URL</x:t>
        </x:is>
      </x:c>
      <x:c r="F1" s="48" t="inlineStr">
        <x:is>
          <x:t xml:space="preserve">DurationSec</x:t>
        </x:is>
      </x:c>
      <x:c r="G1" s="48" t="inlineStr">
        <x:is>
          <x:t xml:space="preserve">LikelySales</x:t>
        </x:is>
      </x:c>
      <x:c r="H1" s="48" t="inlineStr">
        <x:is>
          <x:t xml:space="preserve">Uncertain</x:t>
        </x:is>
      </x:c>
      <x:c r="I1" s="48" t="inlineStr">
        <x:is>
          <x:t xml:space="preserve">Review: Lead Name (override)</x:t>
        </x:is>
      </x:c>
      <x:c r="J1" s="48" t="inlineStr">
        <x:is>
          <x:t xml:space="preserve">Review: Is Sales? (Yes/No)</x:t>
        </x:is>
      </x:c>
      <x:c r="K1" s="48" t="inlineStr">
        <x:is>
          <x:t xml:space="preserve">Review: Source (Cold SMS/Meta/Other)</x:t>
        </x:is>
      </x:c>
      <x:c r="L1" s="48" t="inlineStr">
        <x:is>
          <x:t xml:space="preserve">Review: Reason/Notes</x:t>
        </x:is>
      </x:c>
    </x:row>
    <x:row r="2">
      <x:c r="A2" s="48" t="inlineStr">
        <x:is>
          <x:t xml:space="preserve">Steve Nelson x AI Strategy Session on 18 Mar 2026 </x:t>
        </x:is>
      </x:c>
      <x:c r="B2" s="48" t="inlineStr">
        <x:is>
          <x:t xml:space="preserve">2026-03-18T16:00:00Z</x:t>
        </x:is>
      </x:c>
      <x:c r="C2" s="48" t="inlineStr">
        <x:is>
          <x:t xml:space="preserve">2026-03-18T16:10:19Z</x:t>
        </x:is>
      </x:c>
      <x:c r="D2" s="48" t="inlineStr">
        <x:is>
          <x:t xml:space="preserve">2026-03-18T17:30:52Z</x:t>
        </x:is>
      </x:c>
      <x:c r="E2" s="79" t="inlineStr">
        <x:is>
          <x:t xml:space="preserve">https://fathom.video/share/3Rq5hx1qyJEgqRxfumxaAzBL72JykHUz</x:t>
        </x:is>
      </x:c>
      <x:c r="G2" s="48" t="inlineStr">
        <x:is>
          <x:t xml:space="preserve">yes</x:t>
        </x:is>
      </x:c>
      <x:c r="H2" s="48" t="inlineStr">
        <x:is>
          <x:t xml:space="preserve">no</x:t>
        </x:is>
      </x:c>
    </x:row>
    <x:row r="3">
      <x:c r="A3" s="48" t="inlineStr">
        <x:is>
          <x:t xml:space="preserve">Bilal</x:t>
        </x:is>
      </x:c>
      <x:c r="B3" s="48" t="inlineStr">
        <x:is>
          <x:t xml:space="preserve">2026-03-18T14:15:00Z</x:t>
        </x:is>
      </x:c>
      <x:c r="C3" s="48" t="inlineStr">
        <x:is>
          <x:t xml:space="preserve">2026-03-18T14:18:38Z</x:t>
        </x:is>
      </x:c>
      <x:c r="D3" s="48" t="inlineStr">
        <x:is>
          <x:t xml:space="preserve">2026-03-18T14:35:46Z</x:t>
        </x:is>
      </x:c>
      <x:c r="E3" s="79" t="inlineStr">
        <x:is>
          <x:t xml:space="preserve">https://fathom.video/share/uAqoGK_k7gZGo4UduTsdL11r8mPsb1ax</x:t>
        </x:is>
      </x:c>
      <x:c r="G3" s="48" t="inlineStr">
        <x:is>
          <x:t xml:space="preserve">no</x:t>
        </x:is>
      </x:c>
      <x:c r="H3" s="48" t="inlineStr">
        <x:is>
          <x:t xml:space="preserve">yes</x:t>
        </x:is>
      </x:c>
    </x:row>
    <x:row r="4">
      <x:c r="A4" s="48" t="inlineStr">
        <x:is>
          <x:t xml:space="preserve">Tyrone Smith x  Maxwell - AI Growth Game Plan Call</x:t>
        </x:is>
      </x:c>
      <x:c r="B4" s="48" t="inlineStr">
        <x:is>
          <x:t xml:space="preserve">2026-03-18T12:00:00Z</x:t>
        </x:is>
      </x:c>
      <x:c r="C4" s="48" t="inlineStr">
        <x:is>
          <x:t xml:space="preserve">2026-03-18T12:04:02Z</x:t>
        </x:is>
      </x:c>
      <x:c r="D4" s="48" t="inlineStr">
        <x:is>
          <x:t xml:space="preserve">2026-03-18T12:45:06Z</x:t>
        </x:is>
      </x:c>
      <x:c r="E4" s="79" t="inlineStr">
        <x:is>
          <x:t xml:space="preserve">https://fathom.video/share/umdqrk2ueV7pbeejRLpWeHxahpZfgdF8</x:t>
        </x:is>
      </x:c>
      <x:c r="G4" s="48" t="inlineStr">
        <x:is>
          <x:t xml:space="preserve">yes</x:t>
        </x:is>
      </x:c>
      <x:c r="H4" s="48" t="inlineStr">
        <x:is>
          <x:t xml:space="preserve">no</x:t>
        </x:is>
      </x:c>
    </x:row>
    <x:row r="5">
      <x:c r="A5" s="48" t="inlineStr">
        <x:is>
          <x:t xml:space="preserve">Impromptu Google Meet Meeting</x:t>
        </x:is>
      </x:c>
      <x:c r="B5" s="48" t="inlineStr">
        <x:is>
          <x:t xml:space="preserve">2026-03-16T17:14:36Z</x:t>
        </x:is>
      </x:c>
      <x:c r="C5" s="48" t="inlineStr">
        <x:is>
          <x:t xml:space="preserve">2026-03-16T17:19:52Z</x:t>
        </x:is>
      </x:c>
      <x:c r="D5" s="48" t="inlineStr">
        <x:is>
          <x:t xml:space="preserve">2026-03-16T18:24:24Z</x:t>
        </x:is>
      </x:c>
      <x:c r="E5" s="79" t="inlineStr">
        <x:is>
          <x:t xml:space="preserve">https://fathom.video/share/FCXvJHfXPdv99xFLRKEifkdsyw5E1hcx</x:t>
        </x:is>
      </x:c>
      <x:c r="G5" s="48" t="inlineStr">
        <x:is>
          <x:t xml:space="preserve">no</x:t>
        </x:is>
      </x:c>
      <x:c r="H5" s="48" t="inlineStr">
        <x:is>
          <x:t xml:space="preserve">yes</x:t>
        </x:is>
      </x:c>
    </x:row>
    <x:row r="6">
      <x:c r="A6" s="48" t="inlineStr">
        <x:is>
          <x:t xml:space="preserve">Impromptu Google Meet Meeting</x:t>
        </x:is>
      </x:c>
      <x:c r="B6" s="48" t="inlineStr">
        <x:is>
          <x:t xml:space="preserve">2026-03-13T16:34:46Z</x:t>
        </x:is>
      </x:c>
      <x:c r="C6" s="48" t="inlineStr">
        <x:is>
          <x:t xml:space="preserve">2026-03-13T16:35:24Z</x:t>
        </x:is>
      </x:c>
      <x:c r="D6" s="48" t="inlineStr">
        <x:is>
          <x:t xml:space="preserve">2026-03-13T17:40:27Z</x:t>
        </x:is>
      </x:c>
      <x:c r="E6" s="79" t="inlineStr">
        <x:is>
          <x:t xml:space="preserve">https://fathom.video/share/nnADnypbbYx48byysSp8Sqm_-oPuahRf</x:t>
        </x:is>
      </x:c>
      <x:c r="G6" s="48" t="inlineStr">
        <x:is>
          <x:t xml:space="preserve">no</x:t>
        </x:is>
      </x:c>
      <x:c r="H6" s="48" t="inlineStr">
        <x:is>
          <x:t xml:space="preserve">yes</x:t>
        </x:is>
      </x:c>
    </x:row>
    <x:row r="7">
      <x:c r="A7" s="48" t="inlineStr">
        <x:is>
          <x:t xml:space="preserve">Keith  x  Maxwell - AI Growth Game Plan Call</x:t>
        </x:is>
      </x:c>
      <x:c r="B7" s="48" t="inlineStr">
        <x:is>
          <x:t xml:space="preserve">2026-03-12T18:00:00Z</x:t>
        </x:is>
      </x:c>
      <x:c r="C7" s="48" t="inlineStr">
        <x:is>
          <x:t xml:space="preserve">2026-03-12T18:01:12Z</x:t>
        </x:is>
      </x:c>
      <x:c r="D7" s="48" t="inlineStr">
        <x:is>
          <x:t xml:space="preserve">2026-03-12T19:15:10Z</x:t>
        </x:is>
      </x:c>
      <x:c r="E7" s="79" t="inlineStr">
        <x:is>
          <x:t xml:space="preserve">https://fathom.video/share/SS_hdEmKEVSTvDJGw2DgL-ajecTrzP4h</x:t>
        </x:is>
      </x:c>
      <x:c r="G7" s="48" t="inlineStr">
        <x:is>
          <x:t xml:space="preserve">yes</x:t>
        </x:is>
      </x:c>
      <x:c r="H7" s="48" t="inlineStr">
        <x:is>
          <x:t xml:space="preserve">no</x:t>
        </x:is>
      </x:c>
    </x:row>
    <x:row r="8">
      <x:c r="A8" s="48" t="inlineStr">
        <x:is>
          <x:t xml:space="preserve">Rick  x  Maxwell - AI Growth Game Plan Call</x:t>
        </x:is>
      </x:c>
      <x:c r="B8" s="48" t="inlineStr">
        <x:is>
          <x:t xml:space="preserve">2026-03-11T23:00:00Z</x:t>
        </x:is>
      </x:c>
      <x:c r="C8" s="48" t="inlineStr">
        <x:is>
          <x:t xml:space="preserve">2026-03-11T23:00:42Z</x:t>
        </x:is>
      </x:c>
      <x:c r="D8" s="48" t="inlineStr">
        <x:is>
          <x:t xml:space="preserve">2026-03-12T00:20:34Z</x:t>
        </x:is>
      </x:c>
      <x:c r="E8" s="79" t="inlineStr">
        <x:is>
          <x:t xml:space="preserve">https://fathom.video/share/xsd3t3aNUbcAU9z1FCJjFzpZpPoD_wtx</x:t>
        </x:is>
      </x:c>
      <x:c r="G8" s="48" t="inlineStr">
        <x:is>
          <x:t xml:space="preserve">yes</x:t>
        </x:is>
      </x:c>
      <x:c r="H8" s="48" t="inlineStr">
        <x:is>
          <x:t xml:space="preserve">no</x:t>
        </x:is>
      </x:c>
    </x:row>
    <x:row r="9">
      <x:c r="A9" s="48" t="inlineStr">
        <x:is>
          <x:t xml:space="preserve">😎 HighLevel March Promotion  2026 Reveal 🎆</x:t>
        </x:is>
      </x:c>
      <x:c r="B9" s="48" t="inlineStr">
        <x:is>
          <x:t xml:space="preserve">2026-03-11T17:00:00Z</x:t>
        </x:is>
      </x:c>
      <x:c r="C9" s="48" t="inlineStr">
        <x:is>
          <x:t xml:space="preserve">2026-03-11T17:16:38Z</x:t>
        </x:is>
      </x:c>
      <x:c r="D9" s="48" t="inlineStr">
        <x:is>
          <x:t xml:space="preserve">2026-03-11T17:24:39Z</x:t>
        </x:is>
      </x:c>
      <x:c r="E9" s="79" t="inlineStr">
        <x:is>
          <x:t xml:space="preserve">https://fathom.video/share/zwJXvNndrB4VBkZqeHoehQVcb1m2HxzR</x:t>
        </x:is>
      </x:c>
      <x:c r="G9" s="48" t="inlineStr">
        <x:is>
          <x:t xml:space="preserve">no</x:t>
        </x:is>
      </x:c>
      <x:c r="H9" s="48" t="inlineStr">
        <x:is>
          <x:t xml:space="preserve">no</x:t>
        </x:is>
      </x:c>
    </x:row>
    <x:row r="10">
      <x:c r="A10" s="48" t="inlineStr">
        <x:is>
          <x:t xml:space="preserve">Dennis  Jussila  x AI Strategy Session on 11 Mar 2026 </x:t>
        </x:is>
      </x:c>
      <x:c r="B10" s="48" t="inlineStr">
        <x:is>
          <x:t xml:space="preserve">2026-03-11T16:00:00Z</x:t>
        </x:is>
      </x:c>
      <x:c r="C10" s="48" t="inlineStr">
        <x:is>
          <x:t xml:space="preserve">2026-03-11T16:01:22Z</x:t>
        </x:is>
      </x:c>
      <x:c r="D10" s="48" t="inlineStr">
        <x:is>
          <x:t xml:space="preserve">2026-03-11T17:05:24Z</x:t>
        </x:is>
      </x:c>
      <x:c r="E10" s="79" t="inlineStr">
        <x:is>
          <x:t xml:space="preserve">https://fathom.video/share/FDAK8szEy-vJ_SCLZRnffUWBPnbsmx_M</x:t>
        </x:is>
      </x:c>
      <x:c r="G10" s="48" t="inlineStr">
        <x:is>
          <x:t xml:space="preserve">yes</x:t>
        </x:is>
      </x:c>
      <x:c r="H10" s="48" t="inlineStr">
        <x:is>
          <x:t xml:space="preserve">no</x:t>
        </x:is>
      </x:c>
    </x:row>
    <x:row r="11">
      <x:c r="A11" s="48" t="inlineStr">
        <x:is>
          <x:t xml:space="preserve">Dennis  Kohlmeier  x AI Strategy Session on 10 Mar 2026 </x:t>
        </x:is>
      </x:c>
      <x:c r="B11" s="48" t="inlineStr">
        <x:is>
          <x:t xml:space="preserve">2026-03-10T21:00:00Z</x:t>
        </x:is>
      </x:c>
      <x:c r="C11" s="48" t="inlineStr">
        <x:is>
          <x:t xml:space="preserve">2026-03-10T21:01:11Z</x:t>
        </x:is>
      </x:c>
      <x:c r="D11" s="48" t="inlineStr">
        <x:is>
          <x:t xml:space="preserve">2026-03-10T21:14:30Z</x:t>
        </x:is>
      </x:c>
      <x:c r="E11" s="79" t="inlineStr">
        <x:is>
          <x:t xml:space="preserve">https://fathom.video/share/MCwdQ3f7KgzxDdyvupjeVpWTMCJtzLqS</x:t>
        </x:is>
      </x:c>
      <x:c r="G11" s="48" t="inlineStr">
        <x:is>
          <x:t xml:space="preserve">yes</x:t>
        </x:is>
      </x:c>
      <x:c r="H11" s="48" t="inlineStr">
        <x:is>
          <x:t xml:space="preserve">no</x:t>
        </x:is>
      </x:c>
    </x:row>
    <x:row r="12">
      <x:c r="A12" s="48" t="inlineStr">
        <x:is>
          <x:t xml:space="preserve">Bilal</x:t>
        </x:is>
      </x:c>
      <x:c r="B12" s="48" t="inlineStr">
        <x:is>
          <x:t xml:space="preserve">2026-03-10T14:15:00Z</x:t>
        </x:is>
      </x:c>
      <x:c r="C12" s="48" t="inlineStr">
        <x:is>
          <x:t xml:space="preserve">2026-03-10T14:18:08Z</x:t>
        </x:is>
      </x:c>
      <x:c r="D12" s="48" t="inlineStr">
        <x:is>
          <x:t xml:space="preserve">2026-03-10T14:44:08Z</x:t>
        </x:is>
      </x:c>
      <x:c r="E12" s="79" t="inlineStr">
        <x:is>
          <x:t xml:space="preserve">https://fathom.video/share/uVyKTLu9ioPN51HeWUJAKuHtWz1aH_Cy</x:t>
        </x:is>
      </x:c>
      <x:c r="G12" s="48" t="inlineStr">
        <x:is>
          <x:t xml:space="preserve">no</x:t>
        </x:is>
      </x:c>
      <x:c r="H12" s="48" t="inlineStr">
        <x:is>
          <x:t xml:space="preserve">yes</x:t>
        </x:is>
      </x:c>
    </x:row>
    <x:row r="13">
      <x:c r="A13" s="48" t="inlineStr">
        <x:is>
          <x:t xml:space="preserve">Ken x  Maxwell - AI Growth Game Plan Call</x:t>
        </x:is>
      </x:c>
      <x:c r="B13" s="48" t="inlineStr">
        <x:is>
          <x:t xml:space="preserve">2026-03-09T20:00:00Z</x:t>
        </x:is>
      </x:c>
      <x:c r="C13" s="48" t="inlineStr">
        <x:is>
          <x:t xml:space="preserve">2026-03-09T20:01:29Z</x:t>
        </x:is>
      </x:c>
      <x:c r="D13" s="48" t="inlineStr">
        <x:is>
          <x:t xml:space="preserve">2026-03-09T20:46:30Z</x:t>
        </x:is>
      </x:c>
      <x:c r="E13" s="79" t="inlineStr">
        <x:is>
          <x:t xml:space="preserve">https://fathom.video/share/tvcHyww-Ve_FV-yWJ_DS4vf-ywUKADqe</x:t>
        </x:is>
      </x:c>
      <x:c r="G13" s="48" t="inlineStr">
        <x:is>
          <x:t xml:space="preserve">yes</x:t>
        </x:is>
      </x:c>
      <x:c r="H13" s="48" t="inlineStr">
        <x:is>
          <x:t xml:space="preserve">no</x:t>
        </x:is>
      </x:c>
    </x:row>
    <x:row r="14">
      <x:c r="A14" s="48" t="inlineStr">
        <x:is>
          <x:t xml:space="preserve">Marcus  x  Maxwell - AI Growth Game Plan Call</x:t>
        </x:is>
      </x:c>
      <x:c r="B14" s="48" t="inlineStr">
        <x:is>
          <x:t xml:space="preserve">2026-03-09T18:00:00Z</x:t>
        </x:is>
      </x:c>
      <x:c r="C14" s="48" t="inlineStr">
        <x:is>
          <x:t xml:space="preserve">2026-03-09T18:06:46Z</x:t>
        </x:is>
      </x:c>
      <x:c r="D14" s="48" t="inlineStr">
        <x:is>
          <x:t xml:space="preserve">2026-03-09T18:37:50Z</x:t>
        </x:is>
      </x:c>
      <x:c r="E14" s="79" t="inlineStr">
        <x:is>
          <x:t xml:space="preserve">https://fathom.video/share/-9dxTtDrY9SxTb7zYbpgKdysLoDJk6_B</x:t>
        </x:is>
      </x:c>
      <x:c r="G14" s="48" t="inlineStr">
        <x:is>
          <x:t xml:space="preserve">yes</x:t>
        </x:is>
      </x:c>
      <x:c r="H14" s="48" t="inlineStr">
        <x:is>
          <x:t xml:space="preserve">no</x:t>
        </x:is>
      </x:c>
    </x:row>
    <x:row r="15">
      <x:c r="A15" s="48" t="inlineStr">
        <x:is>
          <x:t xml:space="preserve">Joe</x:t>
        </x:is>
      </x:c>
      <x:c r="B15" s="48" t="inlineStr">
        <x:is>
          <x:t xml:space="preserve">2026-03-09T16:00:00Z</x:t>
        </x:is>
      </x:c>
      <x:c r="C15" s="48" t="inlineStr">
        <x:is>
          <x:t xml:space="preserve">2026-03-09T16:02:32Z</x:t>
        </x:is>
      </x:c>
      <x:c r="D15" s="48" t="inlineStr">
        <x:is>
          <x:t xml:space="preserve">2026-03-09T17:12:25Z</x:t>
        </x:is>
      </x:c>
      <x:c r="E15" s="79" t="inlineStr">
        <x:is>
          <x:t xml:space="preserve">https://fathom.video/share/k6mzJ2BDqUbnf6b8p-kUF3BnFzRye3mS</x:t>
        </x:is>
      </x:c>
      <x:c r="G15" s="48" t="inlineStr">
        <x:is>
          <x:t xml:space="preserve">no</x:t>
        </x:is>
      </x:c>
      <x:c r="H15" s="48" t="inlineStr">
        <x:is>
          <x:t xml:space="preserve">yes</x:t>
        </x:is>
      </x:c>
    </x:row>
    <x:row r="16">
      <x:c r="A16" s="48" t="inlineStr">
        <x:is>
          <x:t xml:space="preserve">Bilal</x:t>
        </x:is>
      </x:c>
      <x:c r="B16" s="48" t="inlineStr">
        <x:is>
          <x:t xml:space="preserve">2026-03-09T14:15:00Z</x:t>
        </x:is>
      </x:c>
      <x:c r="C16" s="48" t="inlineStr">
        <x:is>
          <x:t xml:space="preserve">2026-03-09T14:16:34Z</x:t>
        </x:is>
      </x:c>
      <x:c r="D16" s="48" t="inlineStr">
        <x:is>
          <x:t xml:space="preserve">2026-03-09T14:44:07Z</x:t>
        </x:is>
      </x:c>
      <x:c r="E16" s="79" t="inlineStr">
        <x:is>
          <x:t xml:space="preserve">https://fathom.video/share/BW77ZSJvxuY4LpJxx2v9jBQLK5kTSZaT</x:t>
        </x:is>
      </x:c>
      <x:c r="G16" s="48" t="inlineStr">
        <x:is>
          <x:t xml:space="preserve">no</x:t>
        </x:is>
      </x:c>
      <x:c r="H16" s="48" t="inlineStr">
        <x:is>
          <x:t xml:space="preserve">yes</x:t>
        </x:is>
      </x:c>
    </x:row>
    <x:row r="17">
      <x:c r="A17" s="48" t="inlineStr">
        <x:is>
          <x:t xml:space="preserve">Impromptu Google Meet Meeting</x:t>
        </x:is>
      </x:c>
      <x:c r="B17" s="48" t="inlineStr">
        <x:is>
          <x:t xml:space="preserve">2026-03-07T15:54:52Z</x:t>
        </x:is>
      </x:c>
      <x:c r="C17" s="48" t="inlineStr">
        <x:is>
          <x:t xml:space="preserve">2026-03-07T15:58:08Z</x:t>
        </x:is>
      </x:c>
      <x:c r="D17" s="48" t="inlineStr">
        <x:is>
          <x:t xml:space="preserve">2026-03-07T16:45:06Z</x:t>
        </x:is>
      </x:c>
      <x:c r="E17" s="79" t="inlineStr">
        <x:is>
          <x:t xml:space="preserve">https://fathom.video/share/JtuNdfPgT5BgwHog7wz3cLzFhrw4gx6U</x:t>
        </x:is>
      </x:c>
      <x:c r="G17" s="48" t="inlineStr">
        <x:is>
          <x:t xml:space="preserve">no</x:t>
        </x:is>
      </x:c>
      <x:c r="H17" s="48" t="inlineStr">
        <x:is>
          <x:t xml:space="preserve">yes</x:t>
        </x:is>
      </x:c>
    </x:row>
    <x:row r="18">
      <x:c r="A18" s="48" t="inlineStr">
        <x:is>
          <x:t xml:space="preserve">Skip  x  Maxwell - AI Growth Game Plan Call</x:t>
        </x:is>
      </x:c>
      <x:c r="B18" s="48" t="inlineStr">
        <x:is>
          <x:t xml:space="preserve">2026-03-06T19:00:00Z</x:t>
        </x:is>
      </x:c>
      <x:c r="C18" s="48" t="inlineStr">
        <x:is>
          <x:t xml:space="preserve">2026-03-06T19:03:23Z</x:t>
        </x:is>
      </x:c>
      <x:c r="D18" s="48" t="inlineStr">
        <x:is>
          <x:t xml:space="preserve">2026-03-06T20:30:08Z</x:t>
        </x:is>
      </x:c>
      <x:c r="E18" s="79" t="inlineStr">
        <x:is>
          <x:t xml:space="preserve">https://fathom.video/share/FM7eXh9Z5coAyg6_azyrgDHeyKAgEo8U</x:t>
        </x:is>
      </x:c>
      <x:c r="G18" s="48" t="inlineStr">
        <x:is>
          <x:t xml:space="preserve">yes</x:t>
        </x:is>
      </x:c>
      <x:c r="H18" s="48" t="inlineStr">
        <x:is>
          <x:t xml:space="preserve">no</x:t>
        </x:is>
      </x:c>
    </x:row>
    <x:row r="19">
      <x:c r="A19" s="48" t="inlineStr">
        <x:is>
          <x:t xml:space="preserve">Jesus  x  Maxwell - AI Growth Game Plan Call</x:t>
        </x:is>
      </x:c>
      <x:c r="B19" s="48" t="inlineStr">
        <x:is>
          <x:t xml:space="preserve">2026-03-06T18:00:00Z</x:t>
        </x:is>
      </x:c>
      <x:c r="C19" s="48" t="inlineStr">
        <x:is>
          <x:t xml:space="preserve">2026-03-06T18:01:24Z</x:t>
        </x:is>
      </x:c>
      <x:c r="D19" s="48" t="inlineStr">
        <x:is>
          <x:t xml:space="preserve">2026-03-06T18:46:30Z</x:t>
        </x:is>
      </x:c>
      <x:c r="E19" s="79" t="inlineStr">
        <x:is>
          <x:t xml:space="preserve">https://fathom.video/share/cjzp2QcrxquezX_2Py6VceEjC2ZofvDF</x:t>
        </x:is>
      </x:c>
      <x:c r="G19" s="48" t="inlineStr">
        <x:is>
          <x:t xml:space="preserve">yes</x:t>
        </x:is>
      </x:c>
      <x:c r="H19" s="48" t="inlineStr">
        <x:is>
          <x:t xml:space="preserve">no</x:t>
        </x:is>
      </x:c>
    </x:row>
    <x:row r="20">
      <x:c r="A20" s="48" t="inlineStr">
        <x:is>
          <x:t xml:space="preserve">Impromptu Google Meet Meeting</x:t>
        </x:is>
      </x:c>
      <x:c r="B20" s="48" t="inlineStr">
        <x:is>
          <x:t xml:space="preserve">2026-03-06T14:17:50Z</x:t>
        </x:is>
      </x:c>
      <x:c r="C20" s="48" t="inlineStr">
        <x:is>
          <x:t xml:space="preserve">2026-03-06T14:18:34Z</x:t>
        </x:is>
      </x:c>
      <x:c r="D20" s="48" t="inlineStr">
        <x:is>
          <x:t xml:space="preserve">2026-03-06T15:10:30Z</x:t>
        </x:is>
      </x:c>
      <x:c r="E20" s="79" t="inlineStr">
        <x:is>
          <x:t xml:space="preserve">https://fathom.video/share/2wJYubyqeuEb9AHzsbfBTowzPrGg1yHg</x:t>
        </x:is>
      </x:c>
      <x:c r="G20" s="48" t="inlineStr">
        <x:is>
          <x:t xml:space="preserve">no</x:t>
        </x:is>
      </x:c>
      <x:c r="H20" s="48" t="inlineStr">
        <x:is>
          <x:t xml:space="preserve">yes</x:t>
        </x:is>
      </x:c>
    </x:row>
    <x:row r="21">
      <x:c r="A21" s="48" t="inlineStr">
        <x:is>
          <x:t xml:space="preserve">Impromptu Google Meet Meeting</x:t>
        </x:is>
      </x:c>
      <x:c r="B21" s="48" t="inlineStr">
        <x:is>
          <x:t xml:space="preserve">2026-03-04T17:01:13Z</x:t>
        </x:is>
      </x:c>
      <x:c r="C21" s="48" t="inlineStr">
        <x:is>
          <x:t xml:space="preserve">2026-03-04T17:02:11Z</x:t>
        </x:is>
      </x:c>
      <x:c r="D21" s="48" t="inlineStr">
        <x:is>
          <x:t xml:space="preserve">2026-03-04T17:47:25Z</x:t>
        </x:is>
      </x:c>
      <x:c r="E21" s="79" t="inlineStr">
        <x:is>
          <x:t xml:space="preserve">https://fathom.video/share/on47jqiHrKpEMT4HFuRAjM1z4-rnxjc5</x:t>
        </x:is>
      </x:c>
      <x:c r="G21" s="48" t="inlineStr">
        <x:is>
          <x:t xml:space="preserve">no</x:t>
        </x:is>
      </x:c>
      <x:c r="H21" s="48" t="inlineStr">
        <x:is>
          <x:t xml:space="preserve">yes</x:t>
        </x:is>
      </x:c>
    </x:row>
    <x:row r="22">
      <x:c r="A22" s="48" t="inlineStr">
        <x:is>
          <x:t xml:space="preserve"> Raj </x:t>
        </x:is>
      </x:c>
      <x:c r="B22" s="48" t="inlineStr">
        <x:is>
          <x:t xml:space="preserve">2026-03-04T16:00:00Z</x:t>
        </x:is>
      </x:c>
      <x:c r="C22" s="48" t="inlineStr">
        <x:is>
          <x:t xml:space="preserve">2026-03-04T16:03:48Z</x:t>
        </x:is>
      </x:c>
      <x:c r="D22" s="48" t="inlineStr">
        <x:is>
          <x:t xml:space="preserve">2026-03-04T16:32:32Z</x:t>
        </x:is>
      </x:c>
      <x:c r="E22" s="79" t="inlineStr">
        <x:is>
          <x:t xml:space="preserve">https://fathom.video/share/Z2zxqgknBXZmoEzBzfs4azyyVDPyJ5Q9</x:t>
        </x:is>
      </x:c>
      <x:c r="G22" s="48" t="inlineStr">
        <x:is>
          <x:t xml:space="preserve">no</x:t>
        </x:is>
      </x:c>
      <x:c r="H22" s="48" t="inlineStr">
        <x:is>
          <x:t xml:space="preserve">yes</x:t>
        </x:is>
      </x:c>
    </x:row>
    <x:row r="23">
      <x:c r="A23" s="48" t="inlineStr">
        <x:is>
          <x:t xml:space="preserve">Impromptu Google Meet Meeting</x:t>
        </x:is>
      </x:c>
      <x:c r="B23" s="48" t="inlineStr">
        <x:is>
          <x:t xml:space="preserve">2026-03-04T15:56:45Z</x:t>
        </x:is>
      </x:c>
      <x:c r="C23" s="48" t="inlineStr">
        <x:is>
          <x:t xml:space="preserve">2026-03-04T15:57:29Z</x:t>
        </x:is>
      </x:c>
      <x:c r="D23" s="48" t="inlineStr">
        <x:is>
          <x:t xml:space="preserve">2026-03-04T16:04:38Z</x:t>
        </x:is>
      </x:c>
      <x:c r="E23" s="79" t="inlineStr">
        <x:is>
          <x:t xml:space="preserve">https://fathom.video/share/s6asKiNW2Tj5Qwtx7CsxB_f_m78rdhrf</x:t>
        </x:is>
      </x:c>
      <x:c r="G23" s="48" t="inlineStr">
        <x:is>
          <x:t xml:space="preserve">no</x:t>
        </x:is>
      </x:c>
      <x:c r="H23" s="48" t="inlineStr">
        <x:is>
          <x:t xml:space="preserve">yes</x:t>
        </x:is>
      </x:c>
    </x:row>
    <x:row r="24">
      <x:c r="A24" s="48" t="inlineStr">
        <x:is>
          <x:t xml:space="preserve">Bilal</x:t>
        </x:is>
      </x:c>
      <x:c r="B24" s="48" t="inlineStr">
        <x:is>
          <x:t xml:space="preserve">2026-03-04T14:15:00Z</x:t>
        </x:is>
      </x:c>
      <x:c r="C24" s="48" t="inlineStr">
        <x:is>
          <x:t xml:space="preserve">2026-03-04T14:19:19Z</x:t>
        </x:is>
      </x:c>
      <x:c r="D24" s="48" t="inlineStr">
        <x:is>
          <x:t xml:space="preserve">2026-03-04T14:27:16Z</x:t>
        </x:is>
      </x:c>
      <x:c r="E24" s="79" t="inlineStr">
        <x:is>
          <x:t xml:space="preserve">https://fathom.video/share/mrY1YPCwBXHanXLz4D2vyx8jhgko_asQ</x:t>
        </x:is>
      </x:c>
      <x:c r="G24" s="48" t="inlineStr">
        <x:is>
          <x:t xml:space="preserve">no</x:t>
        </x:is>
      </x:c>
      <x:c r="H24" s="48" t="inlineStr">
        <x:is>
          <x:t xml:space="preserve">yes</x:t>
        </x:is>
      </x:c>
    </x:row>
    <x:row r="25">
      <x:c r="A25" s="48" t="inlineStr">
        <x:is>
          <x:t xml:space="preserve">Davi + Max Daily Meeting</x:t>
        </x:is>
      </x:c>
      <x:c r="B25" s="48" t="inlineStr">
        <x:is>
          <x:t xml:space="preserve">2026-03-03T14:00:00Z</x:t>
        </x:is>
      </x:c>
      <x:c r="C25" s="48" t="inlineStr">
        <x:is>
          <x:t xml:space="preserve">2026-03-03T14:02:00Z</x:t>
        </x:is>
      </x:c>
      <x:c r="D25" s="48" t="inlineStr">
        <x:is>
          <x:t xml:space="preserve">2026-03-03T14:25:00Z</x:t>
        </x:is>
      </x:c>
      <x:c r="E25" s="79" t="inlineStr">
        <x:is>
          <x:t xml:space="preserve">https://fathom.video/share/mpRC8HCr-iXuo87ayVC2sQWtePzq_EEV</x:t>
        </x:is>
      </x:c>
      <x:c r="G25" s="48" t="inlineStr">
        <x:is>
          <x:t xml:space="preserve">no</x:t>
        </x:is>
      </x:c>
      <x:c r="H25" s="48" t="inlineStr">
        <x:is>
          <x:t xml:space="preserve">yes</x:t>
        </x:is>
      </x:c>
    </x:row>
    <x:row r="26">
      <x:c r="A26" s="48" t="inlineStr">
        <x:is>
          <x:t xml:space="preserve"> Austin Bennett</x:t>
        </x:is>
      </x:c>
      <x:c r="B26" s="48" t="inlineStr">
        <x:is>
          <x:t xml:space="preserve">2026-03-02T22:30:00Z</x:t>
        </x:is>
      </x:c>
      <x:c r="C26" s="48" t="inlineStr">
        <x:is>
          <x:t xml:space="preserve">2026-03-02T22:35:24Z</x:t>
        </x:is>
      </x:c>
      <x:c r="D26" s="48" t="inlineStr">
        <x:is>
          <x:t xml:space="preserve">2026-03-02T23:09:20Z</x:t>
        </x:is>
      </x:c>
      <x:c r="E26" s="79" t="inlineStr">
        <x:is>
          <x:t xml:space="preserve">https://fathom.video/share/joxUM911sL74pdZFofGdXzxi5z91wt2G</x:t>
        </x:is>
      </x:c>
      <x:c r="G26" s="48" t="inlineStr">
        <x:is>
          <x:t xml:space="preserve">no</x:t>
        </x:is>
      </x:c>
      <x:c r="H26" s="48" t="inlineStr">
        <x:is>
          <x:t xml:space="preserve">yes</x:t>
        </x:is>
      </x:c>
    </x:row>
    <x:row r="27">
      <x:c r="A27" s="48" t="inlineStr">
        <x:is>
          <x:t xml:space="preserve">Mike Baruh x AI Strategy Session on 02 Mar 2026 </x:t>
        </x:is>
      </x:c>
      <x:c r="B27" s="48" t="inlineStr">
        <x:is>
          <x:t xml:space="preserve">2026-03-02T18:00:00Z</x:t>
        </x:is>
      </x:c>
      <x:c r="C27" s="48" t="inlineStr">
        <x:is>
          <x:t xml:space="preserve">2026-03-02T18:05:36Z</x:t>
        </x:is>
      </x:c>
      <x:c r="D27" s="48" t="inlineStr">
        <x:is>
          <x:t xml:space="preserve">2026-03-02T18:33:57Z</x:t>
        </x:is>
      </x:c>
      <x:c r="E27" s="79" t="inlineStr">
        <x:is>
          <x:t xml:space="preserve">https://fathom.video/share/wNfmSM5DQxw5K62or9Ga9vEwzBxEjkzs</x:t>
        </x:is>
      </x:c>
      <x:c r="G27" s="48" t="inlineStr">
        <x:is>
          <x:t xml:space="preserve">yes</x:t>
        </x:is>
      </x:c>
      <x:c r="H27" s="48" t="inlineStr">
        <x:is>
          <x:t xml:space="preserve">no</x:t>
        </x:is>
      </x:c>
    </x:row>
    <x:row r="28">
      <x:c r="A28" s="48" t="inlineStr">
        <x:is>
          <x:t xml:space="preserve">MARCELO  x  Maxwell - AI Growth Game Plan Call</x:t>
        </x:is>
      </x:c>
      <x:c r="B28" s="48" t="inlineStr">
        <x:is>
          <x:t xml:space="preserve">2026-03-02T15:00:00Z</x:t>
        </x:is>
      </x:c>
      <x:c r="C28" s="48" t="inlineStr">
        <x:is>
          <x:t xml:space="preserve">2026-03-02T15:05:41Z</x:t>
        </x:is>
      </x:c>
      <x:c r="D28" s="48" t="inlineStr">
        <x:is>
          <x:t xml:space="preserve">2026-03-02T15:48:23Z</x:t>
        </x:is>
      </x:c>
      <x:c r="E28" s="79" t="inlineStr">
        <x:is>
          <x:t xml:space="preserve">https://fathom.video/share/witjQ3uNRtJGHuc-dy7W3x1C9Siexa2g</x:t>
        </x:is>
      </x:c>
      <x:c r="G28" s="48" t="inlineStr">
        <x:is>
          <x:t xml:space="preserve">yes</x:t>
        </x:is>
      </x:c>
      <x:c r="H28" s="48" t="inlineStr">
        <x:is>
          <x:t xml:space="preserve">no</x:t>
        </x:is>
      </x:c>
    </x:row>
    <x:row r="29">
      <x:c r="A29" s="48" t="inlineStr">
        <x:is>
          <x:t xml:space="preserve">Davi + Max Daily Meeting</x:t>
        </x:is>
      </x:c>
      <x:c r="B29" s="48" t="inlineStr">
        <x:is>
          <x:t xml:space="preserve">2026-03-02T14:00:00Z</x:t>
        </x:is>
      </x:c>
      <x:c r="C29" s="48" t="inlineStr">
        <x:is>
          <x:t xml:space="preserve">2026-03-02T14:02:18Z</x:t>
        </x:is>
      </x:c>
      <x:c r="D29" s="48" t="inlineStr">
        <x:is>
          <x:t xml:space="preserve">2026-03-02T14:41:39Z</x:t>
        </x:is>
      </x:c>
      <x:c r="E29" s="79" t="inlineStr">
        <x:is>
          <x:t xml:space="preserve">https://fathom.video/share/RCLGHKpi__YuhACH6zyCtDyz7FmrVacu</x:t>
        </x:is>
      </x:c>
      <x:c r="G29" s="48" t="inlineStr">
        <x:is>
          <x:t xml:space="preserve">no</x:t>
        </x:is>
      </x:c>
      <x:c r="H29" s="48" t="inlineStr">
        <x:is>
          <x:t xml:space="preserve">yes</x:t>
        </x:is>
      </x:c>
    </x:row>
    <x:row r="30">
      <x:c r="A30" s="48" t="inlineStr">
        <x:is>
          <x:t xml:space="preserve">Clifford  x  Maxwell - AI Growth Game Plan Call</x:t>
        </x:is>
      </x:c>
      <x:c r="B30" s="48" t="inlineStr">
        <x:is>
          <x:t xml:space="preserve">2026-02-28T16:00:00Z</x:t>
        </x:is>
      </x:c>
      <x:c r="C30" s="48" t="inlineStr">
        <x:is>
          <x:t xml:space="preserve">2026-02-28T16:06:51Z</x:t>
        </x:is>
      </x:c>
      <x:c r="D30" s="48" t="inlineStr">
        <x:is>
          <x:t xml:space="preserve">2026-02-28T17:22:19Z</x:t>
        </x:is>
      </x:c>
      <x:c r="E30" s="79" t="inlineStr">
        <x:is>
          <x:t xml:space="preserve">https://fathom.video/share/rwjcHFzQ3YUEyZ_D3kBXG3_pybf1skoe</x:t>
        </x:is>
      </x:c>
      <x:c r="G30" s="48" t="inlineStr">
        <x:is>
          <x:t xml:space="preserve">yes</x:t>
        </x:is>
      </x:c>
      <x:c r="H30" s="48" t="inlineStr">
        <x:is>
          <x:t xml:space="preserve">no</x:t>
        </x:is>
      </x:c>
    </x:row>
    <x:row r="31">
      <x:c r="A31" s="48" t="inlineStr">
        <x:is>
          <x:t xml:space="preserve">Bilal</x:t>
        </x:is>
      </x:c>
      <x:c r="B31" s="48" t="inlineStr">
        <x:is>
          <x:t xml:space="preserve">2026-02-26T14:15:00Z</x:t>
        </x:is>
      </x:c>
      <x:c r="C31" s="48" t="inlineStr">
        <x:is>
          <x:t xml:space="preserve">2026-02-26T14:15:28Z</x:t>
        </x:is>
      </x:c>
      <x:c r="D31" s="48" t="inlineStr">
        <x:is>
          <x:t xml:space="preserve">2026-02-26T14:29:17Z</x:t>
        </x:is>
      </x:c>
      <x:c r="E31" s="79" t="inlineStr">
        <x:is>
          <x:t xml:space="preserve">https://fathom.video/share/c77mT2qiW99oTfyMDvjv5iRVH4e9VTwu</x:t>
        </x:is>
      </x:c>
      <x:c r="G31" s="48" t="inlineStr">
        <x:is>
          <x:t xml:space="preserve">no</x:t>
        </x:is>
      </x:c>
      <x:c r="H31" s="48" t="inlineStr">
        <x:is>
          <x:t xml:space="preserve">yes</x:t>
        </x:is>
      </x:c>
    </x:row>
    <x:row r="32">
      <x:c r="A32" s="48" t="inlineStr">
        <x:is>
          <x:t xml:space="preserve">Merlin  x  Maxwell - AI Growth Game Plan Call</x:t>
        </x:is>
      </x:c>
      <x:c r="B32" s="48" t="inlineStr">
        <x:is>
          <x:t xml:space="preserve">2026-02-25T23:00:00Z</x:t>
        </x:is>
      </x:c>
      <x:c r="C32" s="48" t="inlineStr">
        <x:is>
          <x:t xml:space="preserve">2026-02-25T23:07:48Z</x:t>
        </x:is>
      </x:c>
      <x:c r="D32" s="48" t="inlineStr">
        <x:is>
          <x:t xml:space="preserve">2026-02-25T23:38:20Z</x:t>
        </x:is>
      </x:c>
      <x:c r="E32" s="79" t="inlineStr">
        <x:is>
          <x:t xml:space="preserve">https://fathom.video/share/y3mmAEtrqpvV7g2zT-oc6x8W6AAU3ts3</x:t>
        </x:is>
      </x:c>
      <x:c r="G32" s="48" t="inlineStr">
        <x:is>
          <x:t xml:space="preserve">yes</x:t>
        </x:is>
      </x:c>
      <x:c r="H32" s="48" t="inlineStr">
        <x:is>
          <x:t xml:space="preserve">no</x:t>
        </x:is>
      </x:c>
    </x:row>
    <x:row r="33">
      <x:c r="A33" s="48" t="inlineStr">
        <x:is>
          <x:t xml:space="preserve">Skyler Brucher x  Maxwell - AI Growth Game Plan Call</x:t>
        </x:is>
      </x:c>
      <x:c r="B33" s="48" t="inlineStr">
        <x:is>
          <x:t xml:space="preserve">2026-02-25T22:00:00Z</x:t>
        </x:is>
      </x:c>
      <x:c r="C33" s="48" t="inlineStr">
        <x:is>
          <x:t xml:space="preserve">2026-02-25T22:02:13Z</x:t>
        </x:is>
      </x:c>
      <x:c r="D33" s="48" t="inlineStr">
        <x:is>
          <x:t xml:space="preserve">2026-02-25T23:06:15Z</x:t>
        </x:is>
      </x:c>
      <x:c r="E33" s="79" t="inlineStr">
        <x:is>
          <x:t xml:space="preserve">https://fathom.video/share/pwcFsBcftsKSpMp8cxtf3z61oU4xrsjt</x:t>
        </x:is>
      </x:c>
      <x:c r="G33" s="48" t="inlineStr">
        <x:is>
          <x:t xml:space="preserve">yes</x:t>
        </x:is>
      </x:c>
      <x:c r="H33" s="48" t="inlineStr">
        <x:is>
          <x:t xml:space="preserve">no</x:t>
        </x:is>
      </x:c>
    </x:row>
    <x:row r="34">
      <x:c r="A34" s="48" t="inlineStr">
        <x:is>
          <x:t xml:space="preserve">Impromptu Google Meet Meeting</x:t>
        </x:is>
      </x:c>
      <x:c r="B34" s="48" t="inlineStr">
        <x:is>
          <x:t xml:space="preserve">2026-02-25T14:46:24Z</x:t>
        </x:is>
      </x:c>
      <x:c r="C34" s="48" t="inlineStr">
        <x:is>
          <x:t xml:space="preserve">2026-02-25T14:47:26Z</x:t>
        </x:is>
      </x:c>
      <x:c r="D34" s="48" t="inlineStr">
        <x:is>
          <x:t xml:space="preserve">2026-02-25T15:23:42Z</x:t>
        </x:is>
      </x:c>
      <x:c r="E34" s="79" t="inlineStr">
        <x:is>
          <x:t xml:space="preserve">https://fathom.video/share/EW8fvczbxAkrg-YxwuDJBsVryfxxNExg</x:t>
        </x:is>
      </x:c>
      <x:c r="G34" s="48" t="inlineStr">
        <x:is>
          <x:t xml:space="preserve">no</x:t>
        </x:is>
      </x:c>
      <x:c r="H34" s="48" t="inlineStr">
        <x:is>
          <x:t xml:space="preserve">yes</x:t>
        </x:is>
      </x:c>
    </x:row>
    <x:row r="35">
      <x:c r="A35" s="48" t="inlineStr">
        <x:is>
          <x:t xml:space="preserve">James  x  Maxwell - AI Growth Game Plan Call</x:t>
        </x:is>
      </x:c>
      <x:c r="B35" s="48" t="inlineStr">
        <x:is>
          <x:t xml:space="preserve">2026-02-25T14:00:00Z</x:t>
        </x:is>
      </x:c>
      <x:c r="C35" s="48" t="inlineStr">
        <x:is>
          <x:t xml:space="preserve">2026-02-25T14:12:09Z</x:t>
        </x:is>
      </x:c>
      <x:c r="D35" s="48" t="inlineStr">
        <x:is>
          <x:t xml:space="preserve">2026-02-25T15:17:24Z</x:t>
        </x:is>
      </x:c>
      <x:c r="E35" s="79" t="inlineStr">
        <x:is>
          <x:t xml:space="preserve">https://fathom.video/share/uzMxCw5oWqzMcAkqZ5UosGZxq8py4tvz</x:t>
        </x:is>
      </x:c>
      <x:c r="G35" s="48" t="inlineStr">
        <x:is>
          <x:t xml:space="preserve">yes</x:t>
        </x:is>
      </x:c>
      <x:c r="H35" s="48" t="inlineStr">
        <x:is>
          <x:t xml:space="preserve">no</x:t>
        </x:is>
      </x:c>
    </x:row>
    <x:row r="36">
      <x:c r="A36" s="48" t="inlineStr">
        <x:is>
          <x:t xml:space="preserve">Ivan  x  Maxwell - AI Growth Game Plan Call</x:t>
        </x:is>
      </x:c>
      <x:c r="B36" s="48" t="inlineStr">
        <x:is>
          <x:t xml:space="preserve">2026-02-24T23:00:00Z</x:t>
        </x:is>
      </x:c>
      <x:c r="C36" s="48" t="inlineStr">
        <x:is>
          <x:t xml:space="preserve">2026-02-24T23:01:18Z</x:t>
        </x:is>
      </x:c>
      <x:c r="D36" s="48" t="inlineStr">
        <x:is>
          <x:t xml:space="preserve">2026-02-24T23:39:27Z</x:t>
        </x:is>
      </x:c>
      <x:c r="E36" s="79" t="inlineStr">
        <x:is>
          <x:t xml:space="preserve">https://fathom.video/share/6kPKZtbxDmQ4d5ufv73Ki1hNcAY22BPy</x:t>
        </x:is>
      </x:c>
      <x:c r="G36" s="48" t="inlineStr">
        <x:is>
          <x:t xml:space="preserve">yes</x:t>
        </x:is>
      </x:c>
      <x:c r="H36" s="48" t="inlineStr">
        <x:is>
          <x:t xml:space="preserve">no</x:t>
        </x:is>
      </x:c>
    </x:row>
    <x:row r="37">
      <x:c r="A37" s="48" t="inlineStr">
        <x:is>
          <x:t xml:space="preserve">Fabiana Williams x AI Strategy Session on 24 Feb 2026 </x:t>
        </x:is>
      </x:c>
      <x:c r="B37" s="48" t="inlineStr">
        <x:is>
          <x:t xml:space="preserve">2026-02-24T19:30:00Z</x:t>
        </x:is>
      </x:c>
      <x:c r="C37" s="48" t="inlineStr">
        <x:is>
          <x:t xml:space="preserve">2026-02-24T19:29:48Z</x:t>
        </x:is>
      </x:c>
      <x:c r="D37" s="48" t="inlineStr">
        <x:is>
          <x:t xml:space="preserve">2026-02-24T19:44:02Z</x:t>
        </x:is>
      </x:c>
      <x:c r="E37" s="79" t="inlineStr">
        <x:is>
          <x:t xml:space="preserve">https://fathom.video/share/LX-wxS8Yjxwj6S33Y1egFjVygvwor91m</x:t>
        </x:is>
      </x:c>
      <x:c r="G37" s="48" t="inlineStr">
        <x:is>
          <x:t xml:space="preserve">yes</x:t>
        </x:is>
      </x:c>
      <x:c r="H37" s="48" t="inlineStr">
        <x:is>
          <x:t xml:space="preserve">no</x:t>
        </x:is>
      </x:c>
    </x:row>
    <x:row r="38">
      <x:c r="A38" s="48" t="inlineStr">
        <x:is>
          <x:t xml:space="preserve">Shaun  x  Maxwell - AI Growth Game Plan Call</x:t>
        </x:is>
      </x:c>
      <x:c r="B38" s="48" t="inlineStr">
        <x:is>
          <x:t xml:space="preserve">2026-02-24T18:00:00Z</x:t>
        </x:is>
      </x:c>
      <x:c r="C38" s="48" t="inlineStr">
        <x:is>
          <x:t xml:space="preserve">2026-02-24T18:04:34Z</x:t>
        </x:is>
      </x:c>
      <x:c r="D38" s="48" t="inlineStr">
        <x:is>
          <x:t xml:space="preserve">2026-02-24T18:51:41Z</x:t>
        </x:is>
      </x:c>
      <x:c r="E38" s="79" t="inlineStr">
        <x:is>
          <x:t xml:space="preserve">https://fathom.video/share/cJPmyXrcqSgy_5tGojszCHi4-7kSt3xk</x:t>
        </x:is>
      </x:c>
      <x:c r="G38" s="48" t="inlineStr">
        <x:is>
          <x:t xml:space="preserve">yes</x:t>
        </x:is>
      </x:c>
      <x:c r="H38" s="48" t="inlineStr">
        <x:is>
          <x:t xml:space="preserve">no</x:t>
        </x:is>
      </x:c>
    </x:row>
    <x:row r="39">
      <x:c r="A39" s="48" t="inlineStr">
        <x:is>
          <x:t xml:space="preserve">Matt - Interior Redesign  x  Maxwell - AI Growth Game Plan Call</x:t>
        </x:is>
      </x:c>
      <x:c r="B39" s="48" t="inlineStr">
        <x:is>
          <x:t xml:space="preserve">2026-02-24T16:30:00Z</x:t>
        </x:is>
      </x:c>
      <x:c r="C39" s="48" t="inlineStr">
        <x:is>
          <x:t xml:space="preserve">2026-02-24T16:30:55Z</x:t>
        </x:is>
      </x:c>
      <x:c r="D39" s="48" t="inlineStr">
        <x:is>
          <x:t xml:space="preserve">2026-02-24T17:22:53Z</x:t>
        </x:is>
      </x:c>
      <x:c r="E39" s="79" t="inlineStr">
        <x:is>
          <x:t xml:space="preserve">https://fathom.video/share/pwEyxj2eHsq7mw73yQQzDoygBgZcW1B_</x:t>
        </x:is>
      </x:c>
      <x:c r="G39" s="48" t="inlineStr">
        <x:is>
          <x:t xml:space="preserve">yes</x:t>
        </x:is>
      </x:c>
      <x:c r="H39" s="48" t="inlineStr">
        <x:is>
          <x:t xml:space="preserve">no</x:t>
        </x:is>
      </x:c>
    </x:row>
    <x:row r="40">
      <x:c r="A40" s="48" t="inlineStr">
        <x:is>
          <x:t xml:space="preserve">Impromptu Google Meet Meeting</x:t>
        </x:is>
      </x:c>
      <x:c r="B40" s="48" t="inlineStr">
        <x:is>
          <x:t xml:space="preserve">2026-02-24T15:04:29Z</x:t>
        </x:is>
      </x:c>
      <x:c r="C40" s="48" t="inlineStr">
        <x:is>
          <x:t xml:space="preserve">2026-02-24T15:05:03Z</x:t>
        </x:is>
      </x:c>
      <x:c r="D40" s="48" t="inlineStr">
        <x:is>
          <x:t xml:space="preserve">2026-02-24T15:48:34Z</x:t>
        </x:is>
      </x:c>
      <x:c r="E40" s="79" t="inlineStr">
        <x:is>
          <x:t xml:space="preserve">https://fathom.video/share/bzCbmQ-hy4vzRAgxLjt6zpE8B6R_SVLJ</x:t>
        </x:is>
      </x:c>
      <x:c r="G40" s="48" t="inlineStr">
        <x:is>
          <x:t xml:space="preserve">no</x:t>
        </x:is>
      </x:c>
      <x:c r="H40" s="48" t="inlineStr">
        <x:is>
          <x:t xml:space="preserve">yes</x:t>
        </x:is>
      </x:c>
    </x:row>
    <x:row r="41">
      <x:c r="A41" s="48" t="inlineStr">
        <x:is>
          <x:t xml:space="preserve">Laszlo Development LLC x  Maxwell - AI Growth Game Plan Call</x:t>
        </x:is>
      </x:c>
      <x:c r="B41" s="48" t="inlineStr">
        <x:is>
          <x:t xml:space="preserve">2026-02-23T20:00:00Z</x:t>
        </x:is>
      </x:c>
      <x:c r="C41" s="48" t="inlineStr">
        <x:is>
          <x:t xml:space="preserve">2026-02-23T20:09:59Z</x:t>
        </x:is>
      </x:c>
      <x:c r="D41" s="48" t="inlineStr">
        <x:is>
          <x:t xml:space="preserve">2026-02-23T20:59:22Z</x:t>
        </x:is>
      </x:c>
      <x:c r="E41" s="79" t="inlineStr">
        <x:is>
          <x:t xml:space="preserve">https://fathom.video/share/WiH5-cou8xvujoz8eAQ9B4cqXQkEttSB</x:t>
        </x:is>
      </x:c>
      <x:c r="G41" s="48" t="inlineStr">
        <x:is>
          <x:t xml:space="preserve">yes</x:t>
        </x:is>
      </x:c>
      <x:c r="H41" s="48" t="inlineStr">
        <x:is>
          <x:t xml:space="preserve">no</x:t>
        </x:is>
      </x:c>
    </x:row>
    <x:row r="42">
      <x:c r="A42" s="48" t="inlineStr">
        <x:is>
          <x:t xml:space="preserve">Gene Campbell  x AI Strategy Session on 23 Feb 2026 </x:t>
        </x:is>
      </x:c>
      <x:c r="B42" s="48" t="inlineStr">
        <x:is>
          <x:t xml:space="preserve">2026-02-23T19:00:00Z</x:t>
        </x:is>
      </x:c>
      <x:c r="C42" s="48" t="inlineStr">
        <x:is>
          <x:t xml:space="preserve">2026-02-23T19:02:33Z</x:t>
        </x:is>
      </x:c>
      <x:c r="D42" s="48" t="inlineStr">
        <x:is>
          <x:t xml:space="preserve">2026-02-23T19:27:23Z</x:t>
        </x:is>
      </x:c>
      <x:c r="E42" s="79" t="inlineStr">
        <x:is>
          <x:t xml:space="preserve">https://fathom.video/share/cZhL8dPpQywBWXXmY7Gw8HMzw-8mWzrz</x:t>
        </x:is>
      </x:c>
      <x:c r="G42" s="48" t="inlineStr">
        <x:is>
          <x:t xml:space="preserve">yes</x:t>
        </x:is>
      </x:c>
      <x:c r="H42" s="48" t="inlineStr">
        <x:is>
          <x:t xml:space="preserve">no</x:t>
        </x:is>
      </x:c>
    </x:row>
    <x:row r="43">
      <x:c r="A43" s="48" t="inlineStr">
        <x:is>
          <x:t xml:space="preserve">Impromptu Google Meet Meeting</x:t>
        </x:is>
      </x:c>
      <x:c r="B43" s="48" t="inlineStr">
        <x:is>
          <x:t xml:space="preserve">2026-02-23T17:16:51Z</x:t>
        </x:is>
      </x:c>
      <x:c r="C43" s="48" t="inlineStr">
        <x:is>
          <x:t xml:space="preserve">2026-02-23T17:17:41Z</x:t>
        </x:is>
      </x:c>
      <x:c r="D43" s="48" t="inlineStr">
        <x:is>
          <x:t xml:space="preserve">2026-02-23T18:09:50Z</x:t>
        </x:is>
      </x:c>
      <x:c r="E43" s="79" t="inlineStr">
        <x:is>
          <x:t xml:space="preserve">https://fathom.video/share/x7xhNMktULD8QiQXtYzi5jS1tby43sDY</x:t>
        </x:is>
      </x:c>
      <x:c r="G43" s="48" t="inlineStr">
        <x:is>
          <x:t xml:space="preserve">no</x:t>
        </x:is>
      </x:c>
      <x:c r="H43" s="48" t="inlineStr">
        <x:is>
          <x:t xml:space="preserve">yes</x:t>
        </x:is>
      </x:c>
    </x:row>
    <x:row r="44">
      <x:c r="A44" s="48" t="inlineStr">
        <x:is>
          <x:t xml:space="preserve">Impromptu Google Meet Meeting</x:t>
        </x:is>
      </x:c>
      <x:c r="B44" s="48" t="inlineStr">
        <x:is>
          <x:t xml:space="preserve">2026-02-23T15:34:20Z</x:t>
        </x:is>
      </x:c>
      <x:c r="C44" s="48" t="inlineStr">
        <x:is>
          <x:t xml:space="preserve">2026-02-23T15:34:49Z</x:t>
        </x:is>
      </x:c>
      <x:c r="D44" s="48" t="inlineStr">
        <x:is>
          <x:t xml:space="preserve">2026-02-23T15:54:08Z</x:t>
        </x:is>
      </x:c>
      <x:c r="E44" s="79" t="inlineStr">
        <x:is>
          <x:t xml:space="preserve">https://fathom.video/share/XK-4EjvuYzfpkEXoAweZhhLyDz8ARoH_</x:t>
        </x:is>
      </x:c>
      <x:c r="G44" s="48" t="inlineStr">
        <x:is>
          <x:t xml:space="preserve">no</x:t>
        </x:is>
      </x:c>
      <x:c r="H44" s="48" t="inlineStr">
        <x:is>
          <x:t xml:space="preserve">yes</x:t>
        </x:is>
      </x:c>
    </x:row>
    <x:row r="45">
      <x:c r="A45" s="48" t="inlineStr">
        <x:is>
          <x:t xml:space="preserve">Setter Meeting</x:t>
        </x:is>
      </x:c>
      <x:c r="B45" s="48" t="inlineStr">
        <x:is>
          <x:t xml:space="preserve">2026-02-23T15:00:00Z</x:t>
        </x:is>
      </x:c>
      <x:c r="C45" s="48" t="inlineStr">
        <x:is>
          <x:t xml:space="preserve">2026-02-23T15:00:42Z</x:t>
        </x:is>
      </x:c>
      <x:c r="D45" s="48" t="inlineStr">
        <x:is>
          <x:t xml:space="preserve">2026-02-23T15:35:09Z</x:t>
        </x:is>
      </x:c>
      <x:c r="E45" s="79" t="inlineStr">
        <x:is>
          <x:t xml:space="preserve">https://fathom.video/share/MnaJJejeBwZzryp48AvwgB8NSwE7dGZy</x:t>
        </x:is>
      </x:c>
      <x:c r="G45" s="48" t="inlineStr">
        <x:is>
          <x:t xml:space="preserve">no</x:t>
        </x:is>
      </x:c>
      <x:c r="H45" s="48" t="inlineStr">
        <x:is>
          <x:t xml:space="preserve">yes</x:t>
        </x:is>
      </x:c>
    </x:row>
    <x:row r="46">
      <x:c r="A46" s="48" t="inlineStr">
        <x:is>
          <x:t xml:space="preserve">Impromptu Google Meet Meeting</x:t>
        </x:is>
      </x:c>
      <x:c r="B46" s="48" t="inlineStr">
        <x:is>
          <x:t xml:space="preserve">2026-02-23T14:42:13Z</x:t>
        </x:is>
      </x:c>
      <x:c r="C46" s="48" t="inlineStr">
        <x:is>
          <x:t xml:space="preserve">2026-02-23T14:44:17Z</x:t>
        </x:is>
      </x:c>
      <x:c r="D46" s="48" t="inlineStr">
        <x:is>
          <x:t xml:space="preserve">2026-02-23T14:52:19Z</x:t>
        </x:is>
      </x:c>
      <x:c r="E46" s="79" t="inlineStr">
        <x:is>
          <x:t xml:space="preserve">https://fathom.video/share/xxQRjyEX-TT1cxKzFxUKwWA3zbFRnHNo</x:t>
        </x:is>
      </x:c>
      <x:c r="G46" s="48" t="inlineStr">
        <x:is>
          <x:t xml:space="preserve">no</x:t>
        </x:is>
      </x:c>
      <x:c r="H46" s="48" t="inlineStr">
        <x:is>
          <x:t xml:space="preserve">yes</x:t>
        </x:is>
      </x:c>
    </x:row>
    <x:row r="47">
      <x:c r="A47" s="48" t="inlineStr">
        <x:is>
          <x:t xml:space="preserve">Shannon Swiscott x  Maxwell - AI Growth Game Plan Call</x:t>
        </x:is>
      </x:c>
      <x:c r="B47" s="48" t="inlineStr">
        <x:is>
          <x:t xml:space="preserve">2026-02-20T14:30:00Z</x:t>
        </x:is>
      </x:c>
      <x:c r="C47" s="48" t="inlineStr">
        <x:is>
          <x:t xml:space="preserve">2026-02-20T14:30:46Z</x:t>
        </x:is>
      </x:c>
      <x:c r="D47" s="48" t="inlineStr">
        <x:is>
          <x:t xml:space="preserve">2026-02-20T15:16:02Z</x:t>
        </x:is>
      </x:c>
      <x:c r="E47" s="79" t="inlineStr">
        <x:is>
          <x:t xml:space="preserve">https://fathom.video/share/e7yvA4HCFtdA38vKDmnsxaSEfyUqRmN4</x:t>
        </x:is>
      </x:c>
      <x:c r="G47" s="48" t="inlineStr">
        <x:is>
          <x:t xml:space="preserve">yes</x:t>
        </x:is>
      </x:c>
      <x:c r="H47" s="48" t="inlineStr">
        <x:is>
          <x:t xml:space="preserve">no</x:t>
        </x:is>
      </x:c>
    </x:row>
    <x:row r="48">
      <x:c r="A48" s="48" t="inlineStr">
        <x:is>
          <x:t xml:space="preserve">Bilal</x:t>
        </x:is>
      </x:c>
      <x:c r="B48" s="48" t="inlineStr">
        <x:is>
          <x:t xml:space="preserve">2026-02-20T14:15:00Z</x:t>
        </x:is>
      </x:c>
      <x:c r="C48" s="48" t="inlineStr">
        <x:is>
          <x:t xml:space="preserve">2026-02-20T14:17:27Z</x:t>
        </x:is>
      </x:c>
      <x:c r="D48" s="48" t="inlineStr">
        <x:is>
          <x:t xml:space="preserve">2026-02-20T14:28:55Z</x:t>
        </x:is>
      </x:c>
      <x:c r="E48" s="79" t="inlineStr">
        <x:is>
          <x:t xml:space="preserve">https://fathom.video/share/EHuL2t5zfVAXGhGzeMzrygGys_yvGMZH</x:t>
        </x:is>
      </x:c>
      <x:c r="G48" s="48" t="inlineStr">
        <x:is>
          <x:t xml:space="preserve">no</x:t>
        </x:is>
      </x:c>
      <x:c r="H48" s="48" t="inlineStr">
        <x:is>
          <x:t xml:space="preserve">yes</x:t>
        </x:is>
      </x:c>
    </x:row>
    <x:row r="49">
      <x:c r="A49" s="48" t="inlineStr">
        <x:is>
          <x:t xml:space="preserve">Davi + Max Daily Meeting</x:t>
        </x:is>
      </x:c>
      <x:c r="B49" s="48" t="inlineStr">
        <x:is>
          <x:t xml:space="preserve">2026-02-20T14:00:00Z</x:t>
        </x:is>
      </x:c>
      <x:c r="C49" s="48" t="inlineStr">
        <x:is>
          <x:t xml:space="preserve">2026-02-20T14:00:31Z</x:t>
        </x:is>
      </x:c>
      <x:c r="D49" s="48" t="inlineStr">
        <x:is>
          <x:t xml:space="preserve">2026-02-20T14:12:12Z</x:t>
        </x:is>
      </x:c>
      <x:c r="E49" s="79" t="inlineStr">
        <x:is>
          <x:t xml:space="preserve">https://fathom.video/share/sBH_x8Kf_QKFVjypkxdGou_tgH6LM8Ja</x:t>
        </x:is>
      </x:c>
      <x:c r="G49" s="48" t="inlineStr">
        <x:is>
          <x:t xml:space="preserve">no</x:t>
        </x:is>
      </x:c>
      <x:c r="H49" s="48" t="inlineStr">
        <x:is>
          <x:t xml:space="preserve">yes</x:t>
        </x:is>
      </x:c>
    </x:row>
    <x:row r="50">
      <x:c r="A50" s="48" t="inlineStr">
        <x:is>
          <x:t xml:space="preserve">Yajaira Joy Segaya</x:t>
        </x:is>
      </x:c>
      <x:c r="B50" s="48" t="inlineStr">
        <x:is>
          <x:t xml:space="preserve">2026-02-20T13:50:00Z</x:t>
        </x:is>
      </x:c>
      <x:c r="C50" s="48" t="inlineStr">
        <x:is>
          <x:t xml:space="preserve">2026-02-20T13:52:49Z</x:t>
        </x:is>
      </x:c>
      <x:c r="D50" s="48" t="inlineStr">
        <x:is>
          <x:t xml:space="preserve">2026-02-20T13:57:52Z</x:t>
        </x:is>
      </x:c>
      <x:c r="E50" s="79" t="inlineStr">
        <x:is>
          <x:t xml:space="preserve">https://fathom.video/share/F42yJmViUy3s1ZEv7_7y83dJcU7oUxpb</x:t>
        </x:is>
      </x:c>
      <x:c r="G50" s="48" t="inlineStr">
        <x:is>
          <x:t xml:space="preserve">no</x:t>
        </x:is>
      </x:c>
      <x:c r="H50" s="48" t="inlineStr">
        <x:is>
          <x:t xml:space="preserve">yes</x:t>
        </x:is>
      </x:c>
    </x:row>
    <x:row r="51">
      <x:c r="A51" s="48" t="inlineStr">
        <x:is>
          <x:t xml:space="preserve"> Angie Rose Joanne Juaneza</x:t>
        </x:is>
      </x:c>
      <x:c r="B51" s="48" t="inlineStr">
        <x:is>
          <x:t xml:space="preserve">2026-02-20T13:40:00Z</x:t>
        </x:is>
      </x:c>
      <x:c r="C51" s="48" t="inlineStr">
        <x:is>
          <x:t xml:space="preserve">2026-02-20T13:40:48Z</x:t>
        </x:is>
      </x:c>
      <x:c r="D51" s="48" t="inlineStr">
        <x:is>
          <x:t xml:space="preserve">2026-02-20T13:45:37Z</x:t>
        </x:is>
      </x:c>
      <x:c r="E51" s="79" t="inlineStr">
        <x:is>
          <x:t xml:space="preserve">https://fathom.video/share/71x5sK6esoWRVoUcS6k93aF6sShur6ku</x:t>
        </x:is>
      </x:c>
      <x:c r="G51" s="48" t="inlineStr">
        <x:is>
          <x:t xml:space="preserve">no</x:t>
        </x:is>
      </x:c>
      <x:c r="H51" s="48" t="inlineStr">
        <x:is>
          <x:t xml:space="preserve">yes</x:t>
        </x:is>
      </x:c>
    </x:row>
    <x:row r="52">
      <x:c r="A52" s="48" t="inlineStr">
        <x:is>
          <x:t xml:space="preserve"> Desiree Mae Unana Unana</x:t>
        </x:is>
      </x:c>
      <x:c r="B52" s="48" t="inlineStr">
        <x:is>
          <x:t xml:space="preserve">2026-02-20T13:10:00Z</x:t>
        </x:is>
      </x:c>
      <x:c r="C52" s="48" t="inlineStr">
        <x:is>
          <x:t xml:space="preserve">2026-02-20T13:10:43Z</x:t>
        </x:is>
      </x:c>
      <x:c r="D52" s="48" t="inlineStr">
        <x:is>
          <x:t xml:space="preserve">2026-02-20T13:20:57Z</x:t>
        </x:is>
      </x:c>
      <x:c r="E52" s="79" t="inlineStr">
        <x:is>
          <x:t xml:space="preserve">https://fathom.video/share/Reir5h8qCkDhJG8Sf5xq3MxFE3qxZqsP</x:t>
        </x:is>
      </x:c>
      <x:c r="G52" s="48" t="inlineStr">
        <x:is>
          <x:t xml:space="preserve">no</x:t>
        </x:is>
      </x:c>
      <x:c r="H52" s="48" t="inlineStr">
        <x:is>
          <x:t xml:space="preserve">yes</x:t>
        </x:is>
      </x:c>
    </x:row>
    <x:row r="53">
      <x:c r="A53" s="48" t="inlineStr">
        <x:is>
          <x:t xml:space="preserve">Impromptu Google Meet Meeting</x:t>
        </x:is>
      </x:c>
      <x:c r="B53" s="48" t="inlineStr">
        <x:is>
          <x:t xml:space="preserve">2026-02-19T22:57:45Z</x:t>
        </x:is>
      </x:c>
      <x:c r="C53" s="48" t="inlineStr">
        <x:is>
          <x:t xml:space="preserve">2026-02-19T23:00:05Z</x:t>
        </x:is>
      </x:c>
      <x:c r="D53" s="48" t="inlineStr">
        <x:is>
          <x:t xml:space="preserve">2026-02-19T23:48:08Z</x:t>
        </x:is>
      </x:c>
      <x:c r="E53" s="79" t="inlineStr">
        <x:is>
          <x:t xml:space="preserve">https://fathom.video/share/91DUoHvq3y2Vrz2J69TsxBBPtUpzeRU3</x:t>
        </x:is>
      </x:c>
      <x:c r="G53" s="48" t="inlineStr">
        <x:is>
          <x:t xml:space="preserve">no</x:t>
        </x:is>
      </x:c>
      <x:c r="H53" s="48" t="inlineStr">
        <x:is>
          <x:t xml:space="preserve">yes</x:t>
        </x:is>
      </x:c>
      <x:c r="J53" t="inlineStr">
        <x:is>
          <x:t xml:space="preserve">Yes</x:t>
        </x:is>
      </x:c>
      <x:c r="L53" t="inlineStr">
        <x:is>
          <x:t xml:space="preserve">Duplicate with Ken / Four Seasons Design Build. Closing call already represented, so do not add another booked call row.</x:t>
        </x:is>
      </x:c>
    </x:row>
    <x:row r="54">
      <x:c r="A54" s="48" t="inlineStr">
        <x:is>
          <x:t xml:space="preserve">Greg Cutting x  Maxwell - AI Growth Game Plan Call</x:t>
        </x:is>
      </x:c>
      <x:c r="B54" s="48" t="inlineStr">
        <x:is>
          <x:t xml:space="preserve">2026-02-19T21:30:00Z</x:t>
        </x:is>
      </x:c>
      <x:c r="C54" s="48" t="inlineStr">
        <x:is>
          <x:t xml:space="preserve">2026-02-19T21:35:29Z</x:t>
        </x:is>
      </x:c>
      <x:c r="D54" s="48" t="inlineStr">
        <x:is>
          <x:t xml:space="preserve">2026-02-19T22:50:41Z</x:t>
        </x:is>
      </x:c>
      <x:c r="E54" s="79" t="inlineStr">
        <x:is>
          <x:t xml:space="preserve">https://fathom.video/share/PVNsyR1EmpBCUDKx6omuUDpFdGH2V7-m</x:t>
        </x:is>
      </x:c>
      <x:c r="G54" s="48" t="inlineStr">
        <x:is>
          <x:t xml:space="preserve">yes</x:t>
        </x:is>
      </x:c>
      <x:c r="H54" s="48" t="inlineStr">
        <x:is>
          <x:t xml:space="preserve">no</x:t>
        </x:is>
      </x:c>
    </x:row>
    <x:row r="55">
      <x:c r="A55" s="48" t="inlineStr">
        <x:is>
          <x:t xml:space="preserve">Stace  Thiessen  x AI Strategy Session on 19 Feb 2026 </x:t>
        </x:is>
      </x:c>
      <x:c r="B55" s="48" t="inlineStr">
        <x:is>
          <x:t xml:space="preserve">2026-02-19T20:30:00Z</x:t>
        </x:is>
      </x:c>
      <x:c r="C55" s="48" t="inlineStr">
        <x:is>
          <x:t xml:space="preserve">2026-02-19T20:30:13Z</x:t>
        </x:is>
      </x:c>
      <x:c r="D55" s="48" t="inlineStr">
        <x:is>
          <x:t xml:space="preserve">2026-02-19T20:32:12Z</x:t>
        </x:is>
      </x:c>
      <x:c r="E55" s="79" t="inlineStr">
        <x:is>
          <x:t xml:space="preserve">https://fathom.video/share/wA3k8ey5BUQ7R3kj-wwv8K1zRhPGUG9Q</x:t>
        </x:is>
      </x:c>
      <x:c r="G55" s="48" t="inlineStr">
        <x:is>
          <x:t xml:space="preserve">yes</x:t>
        </x:is>
      </x:c>
      <x:c r="H55" s="48" t="inlineStr">
        <x:is>
          <x:t xml:space="preserve">no</x:t>
        </x:is>
      </x:c>
    </x:row>
    <x:row r="56">
      <x:c r="A56" s="48" t="inlineStr">
        <x:is>
          <x:t xml:space="preserve"> Alan Corona</x:t>
        </x:is>
      </x:c>
      <x:c r="B56" s="48" t="inlineStr">
        <x:is>
          <x:t xml:space="preserve">2026-02-19T18:00:00Z</x:t>
        </x:is>
      </x:c>
      <x:c r="C56" s="48" t="inlineStr">
        <x:is>
          <x:t xml:space="preserve">2026-02-19T18:04:11Z</x:t>
        </x:is>
      </x:c>
      <x:c r="D56" s="48" t="inlineStr">
        <x:is>
          <x:t xml:space="preserve">2026-02-19T18:14:12Z</x:t>
        </x:is>
      </x:c>
      <x:c r="E56" s="79" t="inlineStr">
        <x:is>
          <x:t xml:space="preserve">https://fathom.video/share/euaUsziF-ogz-aqZsUNSro26o_Y1dTXF</x:t>
        </x:is>
      </x:c>
      <x:c r="G56" s="48" t="inlineStr">
        <x:is>
          <x:t xml:space="preserve">no</x:t>
        </x:is>
      </x:c>
      <x:c r="H56" s="48" t="inlineStr">
        <x:is>
          <x:t xml:space="preserve">yes</x:t>
        </x:is>
      </x:c>
    </x:row>
    <x:row r="57">
      <x:c r="A57" s="48" t="inlineStr">
        <x:is>
          <x:t xml:space="preserve">William Baker x  Maxwell - AI Growth Game Plan Call</x:t>
        </x:is>
      </x:c>
      <x:c r="B57" s="48" t="inlineStr">
        <x:is>
          <x:t xml:space="preserve">2026-02-19T16:00:00Z</x:t>
        </x:is>
      </x:c>
      <x:c r="C57" s="48" t="inlineStr">
        <x:is>
          <x:t xml:space="preserve">2026-02-19T15:59:23Z</x:t>
        </x:is>
      </x:c>
      <x:c r="D57" s="48" t="inlineStr">
        <x:is>
          <x:t xml:space="preserve">2026-02-19T16:36:39Z</x:t>
        </x:is>
      </x:c>
      <x:c r="E57" s="79" t="inlineStr">
        <x:is>
          <x:t xml:space="preserve">https://fathom.video/share/uXaKXFZBvB5uswqssvM2752snegYLfey</x:t>
        </x:is>
      </x:c>
      <x:c r="G57" s="48" t="inlineStr">
        <x:is>
          <x:t xml:space="preserve">yes</x:t>
        </x:is>
      </x:c>
      <x:c r="H57" s="48" t="inlineStr">
        <x:is>
          <x:t xml:space="preserve">no</x:t>
        </x:is>
      </x:c>
    </x:row>
    <x:row r="58">
      <x:c r="A58" s="48" t="inlineStr">
        <x:is>
          <x:t xml:space="preserve">Matthew - Hennessy Bros  x  Maxwell - AI Growth Game Plan Call</x:t>
        </x:is>
      </x:c>
      <x:c r="B58" s="48" t="inlineStr">
        <x:is>
          <x:t xml:space="preserve">2026-02-18T23:00:00Z</x:t>
        </x:is>
      </x:c>
      <x:c r="C58" s="48" t="inlineStr">
        <x:is>
          <x:t xml:space="preserve">2026-02-18T23:04:22Z</x:t>
        </x:is>
      </x:c>
      <x:c r="D58" s="48" t="inlineStr">
        <x:is>
          <x:t xml:space="preserve">2026-02-18T23:38:57Z</x:t>
        </x:is>
      </x:c>
      <x:c r="E58" s="79" t="inlineStr">
        <x:is>
          <x:t xml:space="preserve">https://fathom.video/share/Pis3K2AXHXBub8rQbK_e1hS8-s3xhhFF</x:t>
        </x:is>
      </x:c>
      <x:c r="G58" s="48" t="inlineStr">
        <x:is>
          <x:t xml:space="preserve">yes</x:t>
        </x:is>
      </x:c>
      <x:c r="H58" s="48" t="inlineStr">
        <x:is>
          <x:t xml:space="preserve">no</x:t>
        </x:is>
      </x:c>
    </x:row>
    <x:row r="59">
      <x:c r="A59" s="48" t="inlineStr">
        <x:is>
          <x:t xml:space="preserve">Impromptu Google Meet Meeting</x:t>
        </x:is>
      </x:c>
      <x:c r="B59" s="48" t="inlineStr">
        <x:is>
          <x:t xml:space="preserve">2026-02-18T21:14:26Z</x:t>
        </x:is>
      </x:c>
      <x:c r="C59" s="48" t="inlineStr">
        <x:is>
          <x:t xml:space="preserve">2026-02-18T21:23:33Z</x:t>
        </x:is>
      </x:c>
      <x:c r="D59" s="48" t="inlineStr">
        <x:is>
          <x:t xml:space="preserve">2026-02-18T21:50:14Z</x:t>
        </x:is>
      </x:c>
      <x:c r="E59" s="79" t="inlineStr">
        <x:is>
          <x:t xml:space="preserve">https://fathom.video/share/GB48fajoRhLsryG_mH3pMvwahf1fDzV_</x:t>
        </x:is>
      </x:c>
      <x:c r="G59" s="48" t="inlineStr">
        <x:is>
          <x:t xml:space="preserve">no</x:t>
        </x:is>
      </x:c>
      <x:c r="H59" s="48" t="inlineStr">
        <x:is>
          <x:t xml:space="preserve">yes</x:t>
        </x:is>
      </x:c>
    </x:row>
    <x:row r="60">
      <x:c r="A60" s="48" t="inlineStr">
        <x:is>
          <x:t xml:space="preserve">Dmj Contractors x  Maxwell - AI Growth Game Plan Call</x:t>
        </x:is>
      </x:c>
      <x:c r="B60" s="48" t="inlineStr">
        <x:is>
          <x:t xml:space="preserve">2026-02-18T16:00:00Z</x:t>
        </x:is>
      </x:c>
      <x:c r="C60" s="48" t="inlineStr">
        <x:is>
          <x:t xml:space="preserve">2026-02-18T16:06:32Z</x:t>
        </x:is>
      </x:c>
      <x:c r="D60" s="48" t="inlineStr">
        <x:is>
          <x:t xml:space="preserve">2026-02-18T16:55:44Z</x:t>
        </x:is>
      </x:c>
      <x:c r="E60" s="79" t="inlineStr">
        <x:is>
          <x:t xml:space="preserve">https://fathom.video/share/qRuxmqty6QboJst3KF9Lxik4eZtZNAz4</x:t>
        </x:is>
      </x:c>
      <x:c r="G60" s="48" t="inlineStr">
        <x:is>
          <x:t xml:space="preserve">yes</x:t>
        </x:is>
      </x:c>
      <x:c r="H60" s="48" t="inlineStr">
        <x:is>
          <x:t xml:space="preserve">no</x:t>
        </x:is>
      </x:c>
    </x:row>
    <x:row r="61">
      <x:c r="A61" s="48" t="inlineStr">
        <x:is>
          <x:t xml:space="preserve">Bilal</x:t>
        </x:is>
      </x:c>
      <x:c r="B61" s="48" t="inlineStr">
        <x:is>
          <x:t xml:space="preserve">2026-02-18T14:15:00Z</x:t>
        </x:is>
      </x:c>
      <x:c r="C61" s="48" t="inlineStr">
        <x:is>
          <x:t xml:space="preserve">2026-02-18T14:15:32Z</x:t>
        </x:is>
      </x:c>
      <x:c r="D61" s="48" t="inlineStr">
        <x:is>
          <x:t xml:space="preserve">2026-02-18T14:23:16Z</x:t>
        </x:is>
      </x:c>
      <x:c r="E61" s="79" t="inlineStr">
        <x:is>
          <x:t xml:space="preserve">https://fathom.video/share/os2ooSvsowHf5nRcmT7Qb7TpcVtws46J</x:t>
        </x:is>
      </x:c>
      <x:c r="G61" s="48" t="inlineStr">
        <x:is>
          <x:t xml:space="preserve">no</x:t>
        </x:is>
      </x:c>
      <x:c r="H61" s="48" t="inlineStr">
        <x:is>
          <x:t xml:space="preserve">yes</x:t>
        </x:is>
      </x:c>
    </x:row>
    <x:row r="62">
      <x:c r="A62" s="48" t="inlineStr">
        <x:is>
          <x:t xml:space="preserve">Impromptu Google Meet Meeting</x:t>
        </x:is>
      </x:c>
      <x:c r="B62" s="48" t="inlineStr">
        <x:is>
          <x:t xml:space="preserve">2026-02-17T16:03:03Z</x:t>
        </x:is>
      </x:c>
      <x:c r="C62" s="48" t="inlineStr">
        <x:is>
          <x:t xml:space="preserve">2026-02-17T16:04:18Z</x:t>
        </x:is>
      </x:c>
      <x:c r="D62" s="48" t="inlineStr">
        <x:is>
          <x:t xml:space="preserve">2026-02-17T16:30:53Z</x:t>
        </x:is>
      </x:c>
      <x:c r="E62" s="79" t="inlineStr">
        <x:is>
          <x:t xml:space="preserve">https://fathom.video/share/WwC7w7_bxu_TdHy2cLLTQs7suE-zTs_7</x:t>
        </x:is>
      </x:c>
      <x:c r="G62" s="48" t="inlineStr">
        <x:is>
          <x:t xml:space="preserve">no</x:t>
        </x:is>
      </x:c>
      <x:c r="H62" s="48" t="inlineStr">
        <x:is>
          <x:t xml:space="preserve">yes</x:t>
        </x:is>
      </x:c>
    </x:row>
    <x:row r="63">
      <x:c r="A63" s="48" t="inlineStr">
        <x:is>
          <x:t xml:space="preserve">Frederick-Loudoun Home Services x  Maxwell - AI Growth Game Plan Call</x:t>
        </x:is>
      </x:c>
      <x:c r="B63" s="48" t="inlineStr">
        <x:is>
          <x:t xml:space="preserve">2026-02-16T23:30:00Z</x:t>
        </x:is>
      </x:c>
      <x:c r="C63" s="48" t="inlineStr">
        <x:is>
          <x:t xml:space="preserve">2026-02-16T23:31:06Z</x:t>
        </x:is>
      </x:c>
      <x:c r="D63" s="48" t="inlineStr">
        <x:is>
          <x:t xml:space="preserve">2026-02-17T00:08:28Z</x:t>
        </x:is>
      </x:c>
      <x:c r="E63" s="79" t="inlineStr">
        <x:is>
          <x:t xml:space="preserve">https://fathom.video/share/ekfs4QsSvaY8ZxNG1rsK218pY9mmTd6o</x:t>
        </x:is>
      </x:c>
      <x:c r="G63" s="48" t="inlineStr">
        <x:is>
          <x:t xml:space="preserve">yes</x:t>
        </x:is>
      </x:c>
      <x:c r="H63" s="48" t="inlineStr">
        <x:is>
          <x:t xml:space="preserve">no</x:t>
        </x:is>
      </x:c>
    </x:row>
    <x:row r="64">
      <x:c r="A64" s="48" t="inlineStr">
        <x:is>
          <x:t xml:space="preserve">Harold Howard Painting x  Maxwell - AI Growth Game Plan Call</x:t>
        </x:is>
      </x:c>
      <x:c r="B64" s="48" t="inlineStr">
        <x:is>
          <x:t xml:space="preserve">2026-02-16T22:00:00Z</x:t>
        </x:is>
      </x:c>
      <x:c r="C64" s="48" t="inlineStr">
        <x:is>
          <x:t xml:space="preserve">2026-02-16T22:02:41Z</x:t>
        </x:is>
      </x:c>
      <x:c r="D64" s="48" t="inlineStr">
        <x:is>
          <x:t xml:space="preserve">2026-02-16T22:33:52Z</x:t>
        </x:is>
      </x:c>
      <x:c r="E64" s="79" t="inlineStr">
        <x:is>
          <x:t xml:space="preserve">https://fathom.video/share/wfosvDubMC3oWgSeweFnpy314KXtWhWo</x:t>
        </x:is>
      </x:c>
      <x:c r="G64" s="48" t="inlineStr">
        <x:is>
          <x:t xml:space="preserve">yes</x:t>
        </x:is>
      </x:c>
      <x:c r="H64" s="48" t="inlineStr">
        <x:is>
          <x:t xml:space="preserve">no</x:t>
        </x:is>
      </x:c>
    </x:row>
    <x:row r="65">
      <x:c r="A65" s="48" t="inlineStr">
        <x:is>
          <x:t xml:space="preserve">Evolute Solutions Onboarding | Michael Aiello</x:t>
        </x:is>
      </x:c>
      <x:c r="B65" s="48" t="inlineStr">
        <x:is>
          <x:t xml:space="preserve">2026-02-16T16:00:00Z</x:t>
        </x:is>
      </x:c>
      <x:c r="C65" s="48" t="inlineStr">
        <x:is>
          <x:t xml:space="preserve">2026-02-16T16:01:32Z</x:t>
        </x:is>
      </x:c>
      <x:c r="D65" s="48" t="inlineStr">
        <x:is>
          <x:t xml:space="preserve">2026-02-16T16:12:16Z</x:t>
        </x:is>
      </x:c>
      <x:c r="E65" s="79" t="inlineStr">
        <x:is>
          <x:t xml:space="preserve">https://fathom.video/share/3bxsyS9d5-k3MNAsRb8nR4x3x3BvQyps</x:t>
        </x:is>
      </x:c>
      <x:c r="G65" s="48" t="inlineStr">
        <x:is>
          <x:t xml:space="preserve">no</x:t>
        </x:is>
      </x:c>
      <x:c r="H65" s="48" t="inlineStr">
        <x:is>
          <x:t xml:space="preserve">yes</x:t>
        </x:is>
      </x:c>
    </x:row>
    <x:row r="66">
      <x:c r="A66" s="48" t="inlineStr">
        <x:is>
          <x:t xml:space="preserve">Bilal</x:t>
        </x:is>
      </x:c>
      <x:c r="B66" s="48" t="inlineStr">
        <x:is>
          <x:t xml:space="preserve">2026-02-16T14:15:00Z</x:t>
        </x:is>
      </x:c>
      <x:c r="C66" s="48" t="inlineStr">
        <x:is>
          <x:t xml:space="preserve">2026-02-16T14:16:54Z</x:t>
        </x:is>
      </x:c>
      <x:c r="D66" s="48" t="inlineStr">
        <x:is>
          <x:t xml:space="preserve">2026-02-16T14:39:02Z</x:t>
        </x:is>
      </x:c>
      <x:c r="E66" s="79" t="inlineStr">
        <x:is>
          <x:t xml:space="preserve">https://fathom.video/share/tpz72oBvnUitwatBT74qJG4qexao-jsu</x:t>
        </x:is>
      </x:c>
      <x:c r="G66" s="48" t="inlineStr">
        <x:is>
          <x:t xml:space="preserve">no</x:t>
        </x:is>
      </x:c>
      <x:c r="H66" s="48" t="inlineStr">
        <x:is>
          <x:t xml:space="preserve">yes</x:t>
        </x:is>
      </x:c>
    </x:row>
    <x:row r="67">
      <x:c r="A67" s="48" t="inlineStr">
        <x:is>
          <x:t xml:space="preserve">Impromptu Google Meet Meeting</x:t>
        </x:is>
      </x:c>
      <x:c r="B67" s="48" t="inlineStr">
        <x:is>
          <x:t xml:space="preserve">2026-02-14T21:55:50Z</x:t>
        </x:is>
      </x:c>
      <x:c r="C67" s="48" t="inlineStr">
        <x:is>
          <x:t xml:space="preserve">2026-02-14T21:59:55Z</x:t>
        </x:is>
      </x:c>
      <x:c r="D67" s="48" t="inlineStr">
        <x:is>
          <x:t xml:space="preserve">2026-02-14T22:43:22Z</x:t>
        </x:is>
      </x:c>
      <x:c r="E67" s="79" t="inlineStr">
        <x:is>
          <x:t xml:space="preserve">https://fathom.video/share/nDKoKVBo66vhE3-iXkEfC7iQB3sBaiNW</x:t>
        </x:is>
      </x:c>
      <x:c r="G67" s="48" t="inlineStr">
        <x:is>
          <x:t xml:space="preserve">no</x:t>
        </x:is>
      </x:c>
      <x:c r="H67" s="48" t="inlineStr">
        <x:is>
          <x:t xml:space="preserve">yes</x:t>
        </x:is>
      </x:c>
      <x:c r="J67" t="inlineStr">
        <x:is>
          <x:t xml:space="preserve">No</x:t>
        </x:is>
      </x:c>
      <x:c r="L67" t="inlineStr">
        <x:is>
          <x:t xml:space="preserve">Check-in call, not a sales call. Do not add to All Booked Calls Data.</x:t>
        </x:is>
      </x:c>
    </x:row>
    <x:row r="68">
      <x:c r="A68" s="48" t="inlineStr">
        <x:is>
          <x:t xml:space="preserve">Edward  x  Maxwell - AI Growth Game Plan Call</x:t>
        </x:is>
      </x:c>
      <x:c r="B68" s="48" t="inlineStr">
        <x:is>
          <x:t xml:space="preserve">2026-02-14T21:00:00Z</x:t>
        </x:is>
      </x:c>
      <x:c r="C68" s="48" t="inlineStr">
        <x:is>
          <x:t xml:space="preserve">2026-02-14T21:11:32Z</x:t>
        </x:is>
      </x:c>
      <x:c r="D68" s="48" t="inlineStr">
        <x:is>
          <x:t xml:space="preserve">2026-02-14T21:48:59Z</x:t>
        </x:is>
      </x:c>
      <x:c r="E68" s="79" t="inlineStr">
        <x:is>
          <x:t xml:space="preserve">https://fathom.video/share/j3jNTYKjSqcy-Vixo6mzuHsk2V-yTyVh</x:t>
        </x:is>
      </x:c>
      <x:c r="G68" s="48" t="inlineStr">
        <x:is>
          <x:t xml:space="preserve">yes</x:t>
        </x:is>
      </x:c>
      <x:c r="H68" s="48" t="inlineStr">
        <x:is>
          <x:t xml:space="preserve">no</x:t>
        </x:is>
      </x:c>
    </x:row>
    <x:row r="69">
      <x:c r="A69" s="48" t="inlineStr">
        <x:is>
          <x:t xml:space="preserve">Rafael E81Studio x  Maxwell - AI Growth Game Plan Call</x:t>
        </x:is>
      </x:c>
      <x:c r="B69" s="48" t="inlineStr">
        <x:is>
          <x:t xml:space="preserve">2026-02-14T19:00:00Z</x:t>
        </x:is>
      </x:c>
      <x:c r="C69" s="48" t="inlineStr">
        <x:is>
          <x:t xml:space="preserve">2026-02-14T18:59:50Z</x:t>
        </x:is>
      </x:c>
      <x:c r="D69" s="48" t="inlineStr">
        <x:is>
          <x:t xml:space="preserve">2026-02-14T19:53:08Z</x:t>
        </x:is>
      </x:c>
      <x:c r="E69" s="79" t="inlineStr">
        <x:is>
          <x:t xml:space="preserve">https://fathom.video/share/1jYfAs1mwYm11v6AP7chk7ACuyZVW5d8</x:t>
        </x:is>
      </x:c>
      <x:c r="G69" s="48" t="inlineStr">
        <x:is>
          <x:t xml:space="preserve">yes</x:t>
        </x:is>
      </x:c>
      <x:c r="H69" s="48" t="inlineStr">
        <x:is>
          <x:t xml:space="preserve">no</x:t>
        </x:is>
      </x:c>
    </x:row>
    <x:row r="70">
      <x:c r="A70" s="48" t="inlineStr">
        <x:is>
          <x:t xml:space="preserve">Kenneth Hewitt x  Maxwell - AI Growth Game Plan Call</x:t>
        </x:is>
      </x:c>
      <x:c r="B70" s="48" t="inlineStr">
        <x:is>
          <x:t xml:space="preserve">2026-02-14T14:00:00Z</x:t>
        </x:is>
      </x:c>
      <x:c r="C70" s="48" t="inlineStr">
        <x:is>
          <x:t xml:space="preserve">2026-02-14T14:19:24Z</x:t>
        </x:is>
      </x:c>
      <x:c r="D70" s="48" t="inlineStr">
        <x:is>
          <x:t xml:space="preserve">2026-02-14T15:40:17Z</x:t>
        </x:is>
      </x:c>
      <x:c r="E70" s="79" t="inlineStr">
        <x:is>
          <x:t xml:space="preserve">https://fathom.video/share/waMKzkQ-xkQPbRzLJt5vfBADxdiUsSsx</x:t>
        </x:is>
      </x:c>
      <x:c r="G70" s="48" t="inlineStr">
        <x:is>
          <x:t xml:space="preserve">yes</x:t>
        </x:is>
      </x:c>
      <x:c r="H70" s="48" t="inlineStr">
        <x:is>
          <x:t xml:space="preserve">no</x:t>
        </x:is>
      </x:c>
    </x:row>
    <x:row r="71">
      <x:c r="A71" s="48" t="inlineStr">
        <x:is>
          <x:t xml:space="preserve">Impromptu Google Meet Meeting</x:t>
        </x:is>
      </x:c>
      <x:c r="B71" s="48" t="inlineStr">
        <x:is>
          <x:t xml:space="preserve">2026-02-13T18:41:11Z</x:t>
        </x:is>
      </x:c>
      <x:c r="C71" s="48" t="inlineStr">
        <x:is>
          <x:t xml:space="preserve">2026-02-13T18:42:37Z</x:t>
        </x:is>
      </x:c>
      <x:c r="D71" s="48" t="inlineStr">
        <x:is>
          <x:t xml:space="preserve">2026-02-13T18:49:41Z</x:t>
        </x:is>
      </x:c>
      <x:c r="E71" s="79" t="inlineStr">
        <x:is>
          <x:t xml:space="preserve">https://fathom.video/share/eapMvqd7sH9xnxfeL7hWsgShpK41WkPk</x:t>
        </x:is>
      </x:c>
      <x:c r="G71" s="48" t="inlineStr">
        <x:is>
          <x:t xml:space="preserve">no</x:t>
        </x:is>
      </x:c>
      <x:c r="H71" s="48" t="inlineStr">
        <x:is>
          <x:t xml:space="preserve">yes</x:t>
        </x:is>
      </x:c>
    </x:row>
    <x:row r="72">
      <x:c r="A72" s="48" t="inlineStr">
        <x:is>
          <x:t xml:space="preserve">Grace Construction x  Maxwell - AI Growth Game Plan Call</x:t>
        </x:is>
      </x:c>
      <x:c r="B72" s="48" t="inlineStr">
        <x:is>
          <x:t xml:space="preserve">2026-02-13T17:00:00Z</x:t>
        </x:is>
      </x:c>
      <x:c r="C72" s="48" t="inlineStr">
        <x:is>
          <x:t xml:space="preserve">2026-02-13T17:00:34Z</x:t>
        </x:is>
      </x:c>
      <x:c r="D72" s="48" t="inlineStr">
        <x:is>
          <x:t xml:space="preserve">2026-02-13T17:44:45Z</x:t>
        </x:is>
      </x:c>
      <x:c r="E72" s="79" t="inlineStr">
        <x:is>
          <x:t xml:space="preserve">https://fathom.video/share/rhS69z4cV9sLeqsn2xS34sjyCQ-xYnYC</x:t>
        </x:is>
      </x:c>
      <x:c r="G72" s="48" t="inlineStr">
        <x:is>
          <x:t xml:space="preserve">yes</x:t>
        </x:is>
      </x:c>
      <x:c r="H72" s="48" t="inlineStr">
        <x:is>
          <x:t xml:space="preserve">no</x:t>
        </x:is>
      </x:c>
    </x:row>
    <x:row r="73">
      <x:c r="A73" s="48" t="inlineStr">
        <x:is>
          <x:t xml:space="preserve">Epr - Eladio Plumbing&amp;remodeling x  Maxwell - AI Growth Game Plan Call</x:t>
        </x:is>
      </x:c>
      <x:c r="B73" s="48" t="inlineStr">
        <x:is>
          <x:t xml:space="preserve">2026-02-13T16:00:00Z</x:t>
        </x:is>
      </x:c>
      <x:c r="C73" s="48" t="inlineStr">
        <x:is>
          <x:t xml:space="preserve">2026-02-13T16:03:38Z</x:t>
        </x:is>
      </x:c>
      <x:c r="D73" s="48" t="inlineStr">
        <x:is>
          <x:t xml:space="preserve">2026-02-13T16:27:10Z</x:t>
        </x:is>
      </x:c>
      <x:c r="E73" s="79" t="inlineStr">
        <x:is>
          <x:t xml:space="preserve">https://fathom.video/share/DzTasaayouyhyBswkhPRTTgqGdBzy6as</x:t>
        </x:is>
      </x:c>
      <x:c r="G73" s="48" t="inlineStr">
        <x:is>
          <x:t xml:space="preserve">yes</x:t>
        </x:is>
      </x:c>
      <x:c r="H73" s="48" t="inlineStr">
        <x:is>
          <x:t xml:space="preserve">no</x:t>
        </x:is>
      </x:c>
    </x:row>
    <x:row r="74">
      <x:c r="A74" s="48" t="inlineStr">
        <x:is>
          <x:t xml:space="preserve">Setter Meeting</x:t>
        </x:is>
      </x:c>
      <x:c r="B74" s="48" t="inlineStr">
        <x:is>
          <x:t xml:space="preserve">2026-02-13T15:00:00Z</x:t>
        </x:is>
      </x:c>
      <x:c r="C74" s="48" t="inlineStr">
        <x:is>
          <x:t xml:space="preserve">2026-02-13T15:01:09Z</x:t>
        </x:is>
      </x:c>
      <x:c r="D74" s="48" t="inlineStr">
        <x:is>
          <x:t xml:space="preserve">2026-02-13T15:25:15Z</x:t>
        </x:is>
      </x:c>
      <x:c r="E74" s="79" t="inlineStr">
        <x:is>
          <x:t xml:space="preserve">https://fathom.video/share/eycbVsDeepUzD5sZGhRVkKvNqEBemWtA</x:t>
        </x:is>
      </x:c>
      <x:c r="G74" s="48" t="inlineStr">
        <x:is>
          <x:t xml:space="preserve">no</x:t>
        </x:is>
      </x:c>
      <x:c r="H74" s="48" t="inlineStr">
        <x:is>
          <x:t xml:space="preserve">yes</x:t>
        </x:is>
      </x:c>
    </x:row>
    <x:row r="75">
      <x:c r="A75" s="48" t="inlineStr">
        <x:is>
          <x:t xml:space="preserve">Bilal</x:t>
        </x:is>
      </x:c>
      <x:c r="B75" s="48" t="inlineStr">
        <x:is>
          <x:t xml:space="preserve">2026-02-13T14:15:00Z</x:t>
        </x:is>
      </x:c>
      <x:c r="C75" s="48" t="inlineStr">
        <x:is>
          <x:t xml:space="preserve">2026-02-13T14:18:17Z</x:t>
        </x:is>
      </x:c>
      <x:c r="D75" s="48" t="inlineStr">
        <x:is>
          <x:t xml:space="preserve">2026-02-13T14:35:32Z</x:t>
        </x:is>
      </x:c>
      <x:c r="E75" s="79" t="inlineStr">
        <x:is>
          <x:t xml:space="preserve">https://fathom.video/share/Z4Nrxyw7qymggFzBYK5hSRSn7PGv7YqF</x:t>
        </x:is>
      </x:c>
      <x:c r="G75" s="48" t="inlineStr">
        <x:is>
          <x:t xml:space="preserve">no</x:t>
        </x:is>
      </x:c>
      <x:c r="H75" s="48" t="inlineStr">
        <x:is>
          <x:t xml:space="preserve">yes</x:t>
        </x:is>
      </x:c>
    </x:row>
    <x:row r="76">
      <x:c r="A76" s="48" t="inlineStr">
        <x:is>
          <x:t xml:space="preserve">Davi + Max Daily Meeting</x:t>
        </x:is>
      </x:c>
      <x:c r="B76" s="48" t="inlineStr">
        <x:is>
          <x:t xml:space="preserve">2026-02-13T14:00:00Z</x:t>
        </x:is>
      </x:c>
      <x:c r="C76" s="48" t="inlineStr">
        <x:is>
          <x:t xml:space="preserve">2026-02-13T14:09:22Z</x:t>
        </x:is>
      </x:c>
      <x:c r="D76" s="48" t="inlineStr">
        <x:is>
          <x:t xml:space="preserve">2026-02-13T14:14:11Z</x:t>
        </x:is>
      </x:c>
      <x:c r="E76" s="79" t="inlineStr">
        <x:is>
          <x:t xml:space="preserve">https://fathom.video/share/qJrsr7-u8WXxSp_MUr9fCyECzExJkfVs</x:t>
        </x:is>
      </x:c>
      <x:c r="G76" s="48" t="inlineStr">
        <x:is>
          <x:t xml:space="preserve">no</x:t>
        </x:is>
      </x:c>
      <x:c r="H76" s="48" t="inlineStr">
        <x:is>
          <x:t xml:space="preserve">yes</x:t>
        </x:is>
      </x:c>
    </x:row>
    <x:row r="77">
      <x:c r="A77" s="48" t="inlineStr">
        <x:is>
          <x:t xml:space="preserve">Impromptu Google Meet Meeting</x:t>
        </x:is>
      </x:c>
      <x:c r="B77" s="48" t="inlineStr">
        <x:is>
          <x:t xml:space="preserve">2026-02-12T23:46:17Z</x:t>
        </x:is>
      </x:c>
      <x:c r="C77" s="48" t="inlineStr">
        <x:is>
          <x:t xml:space="preserve">2026-02-12T23:47:13Z</x:t>
        </x:is>
      </x:c>
      <x:c r="D77" s="48" t="inlineStr">
        <x:is>
          <x:t xml:space="preserve">2026-02-13T00:04:00Z</x:t>
        </x:is>
      </x:c>
      <x:c r="E77" s="79" t="inlineStr">
        <x:is>
          <x:t xml:space="preserve">https://fathom.video/share/zLo6B2qYVzK9wayyaovt2FvvDdVUdwUP</x:t>
        </x:is>
      </x:c>
      <x:c r="G77" s="48" t="inlineStr">
        <x:is>
          <x:t xml:space="preserve">no</x:t>
        </x:is>
      </x:c>
      <x:c r="H77" s="48" t="inlineStr">
        <x:is>
          <x:t xml:space="preserve">yes</x:t>
        </x:is>
      </x:c>
    </x:row>
    <x:row r="78">
      <x:c r="A78" s="48" t="inlineStr">
        <x:is>
          <x:t xml:space="preserve">Rashad Construction x  Maxwell - AI Growth Game Plan Call</x:t>
        </x:is>
      </x:c>
      <x:c r="B78" s="48" t="inlineStr">
        <x:is>
          <x:t xml:space="preserve">2026-02-12T23:30:00Z</x:t>
        </x:is>
      </x:c>
      <x:c r="C78" s="48" t="inlineStr">
        <x:is>
          <x:t xml:space="preserve">2026-02-13T00:13:14Z</x:t>
        </x:is>
      </x:c>
      <x:c r="D78" s="48" t="inlineStr">
        <x:is>
          <x:t xml:space="preserve">2026-02-13T01:14:41Z</x:t>
        </x:is>
      </x:c>
      <x:c r="E78" s="79" t="inlineStr">
        <x:is>
          <x:t xml:space="preserve">https://fathom.video/share/jtQCdWQBziz8chLspa4KGoXNNX8ywzUz</x:t>
        </x:is>
      </x:c>
      <x:c r="G78" s="48" t="inlineStr">
        <x:is>
          <x:t xml:space="preserve">yes</x:t>
        </x:is>
      </x:c>
      <x:c r="H78" s="48" t="inlineStr">
        <x:is>
          <x:t xml:space="preserve">no</x:t>
        </x:is>
      </x:c>
    </x:row>
    <x:row r="79">
      <x:c r="A79" s="48" t="inlineStr">
        <x:is>
          <x:t xml:space="preserve">Bilal</x:t>
        </x:is>
      </x:c>
      <x:c r="B79" s="48" t="inlineStr">
        <x:is>
          <x:t xml:space="preserve">2026-02-12T14:15:00Z</x:t>
        </x:is>
      </x:c>
      <x:c r="C79" s="48" t="inlineStr">
        <x:is>
          <x:t xml:space="preserve">2026-02-12T14:02:44Z</x:t>
        </x:is>
      </x:c>
      <x:c r="D79" s="48" t="inlineStr">
        <x:is>
          <x:t xml:space="preserve">2026-02-12T14:21:54Z</x:t>
        </x:is>
      </x:c>
      <x:c r="E79" s="79" t="inlineStr">
        <x:is>
          <x:t xml:space="preserve">https://fathom.video/share/BraKHx-HTs-_ncdrz1DJGVrR_9hDdTmj</x:t>
        </x:is>
      </x:c>
      <x:c r="G79" s="48" t="inlineStr">
        <x:is>
          <x:t xml:space="preserve">no</x:t>
        </x:is>
      </x:c>
      <x:c r="H79" s="48" t="inlineStr">
        <x:is>
          <x:t xml:space="preserve">yes</x:t>
        </x:is>
      </x:c>
    </x:row>
    <x:row r="80">
      <x:c r="A80" s="48" t="inlineStr">
        <x:is>
          <x:t xml:space="preserve">Jodie  x  Maxwell - AI Growth Game Plan Call</x:t>
        </x:is>
      </x:c>
      <x:c r="B80" s="48" t="inlineStr">
        <x:is>
          <x:t xml:space="preserve">2026-02-11T17:30:00Z</x:t>
        </x:is>
      </x:c>
      <x:c r="C80" s="48" t="inlineStr">
        <x:is>
          <x:t xml:space="preserve">2026-02-11T17:53:07Z</x:t>
        </x:is>
      </x:c>
      <x:c r="D80" s="48" t="inlineStr">
        <x:is>
          <x:t xml:space="preserve">2026-02-11T17:55:04Z</x:t>
        </x:is>
      </x:c>
      <x:c r="E80" s="79" t="inlineStr">
        <x:is>
          <x:t xml:space="preserve">https://fathom.video/share/Fz8soGiTFpyrZFk-cXDkV1ztCW84TPcw</x:t>
        </x:is>
      </x:c>
      <x:c r="G80" s="48" t="inlineStr">
        <x:is>
          <x:t xml:space="preserve">yes</x:t>
        </x:is>
      </x:c>
      <x:c r="H80" s="48" t="inlineStr">
        <x:is>
          <x:t xml:space="preserve">no</x:t>
        </x:is>
      </x:c>
    </x:row>
    <x:row r="81">
      <x:c r="A81" s="48" t="inlineStr">
        <x:is>
          <x:t xml:space="preserve">Sean Mabrey Roofing &amp; Construction Services x  Maxwell - AI Growth Game Plan Call</x:t>
        </x:is>
      </x:c>
      <x:c r="B81" s="48" t="inlineStr">
        <x:is>
          <x:t xml:space="preserve">2026-02-11T16:00:00Z</x:t>
        </x:is>
      </x:c>
      <x:c r="C81" s="48" t="inlineStr">
        <x:is>
          <x:t xml:space="preserve">2026-02-11T16:16:53Z</x:t>
        </x:is>
      </x:c>
      <x:c r="D81" s="48" t="inlineStr">
        <x:is>
          <x:t xml:space="preserve">2026-02-11T17:04:18Z</x:t>
        </x:is>
      </x:c>
      <x:c r="E81" s="79" t="inlineStr">
        <x:is>
          <x:t xml:space="preserve">https://fathom.video/share/3HzQGmge72Jp6LqyzH1mRWNESZsdMB9y</x:t>
        </x:is>
      </x:c>
      <x:c r="G81" s="48" t="inlineStr">
        <x:is>
          <x:t xml:space="preserve">yes</x:t>
        </x:is>
      </x:c>
      <x:c r="H81" s="48" t="inlineStr">
        <x:is>
          <x:t xml:space="preserve">no</x:t>
        </x:is>
      </x:c>
    </x:row>
    <x:row r="82">
      <x:c r="A82" s="48" t="inlineStr">
        <x:is>
          <x:t xml:space="preserve">Impromptu Google Meet Meeting</x:t>
        </x:is>
      </x:c>
      <x:c r="B82" s="48" t="inlineStr">
        <x:is>
          <x:t xml:space="preserve">2026-02-10T17:12:23Z</x:t>
        </x:is>
      </x:c>
      <x:c r="C82" s="48" t="inlineStr">
        <x:is>
          <x:t xml:space="preserve">2026-02-10T17:16:33Z</x:t>
        </x:is>
      </x:c>
      <x:c r="D82" s="48" t="inlineStr">
        <x:is>
          <x:t xml:space="preserve">2026-02-10T17:37:47Z</x:t>
        </x:is>
      </x:c>
      <x:c r="E82" s="79" t="inlineStr">
        <x:is>
          <x:t xml:space="preserve">https://fathom.video/share/ss_weEvybmyg9_xpY1XYDLmC2HqEmHjZ</x:t>
        </x:is>
      </x:c>
      <x:c r="G82" s="48" t="inlineStr">
        <x:is>
          <x:t xml:space="preserve">no</x:t>
        </x:is>
      </x:c>
      <x:c r="H82" s="48" t="inlineStr">
        <x:is>
          <x:t xml:space="preserve">yes</x:t>
        </x:is>
      </x:c>
    </x:row>
    <x:row r="83">
      <x:c r="A83" s="48" t="inlineStr">
        <x:is>
          <x:t xml:space="preserve">Impromptu Google Meet Meeting</x:t>
        </x:is>
      </x:c>
      <x:c r="B83" s="48" t="inlineStr">
        <x:is>
          <x:t xml:space="preserve">2026-02-10T14:42:45Z</x:t>
        </x:is>
      </x:c>
      <x:c r="C83" s="48" t="inlineStr">
        <x:is>
          <x:t xml:space="preserve">2026-02-10T14:43:42Z</x:t>
        </x:is>
      </x:c>
      <x:c r="D83" s="48" t="inlineStr">
        <x:is>
          <x:t xml:space="preserve">2026-02-10T15:25:16Z</x:t>
        </x:is>
      </x:c>
      <x:c r="E83" s="79" t="inlineStr">
        <x:is>
          <x:t xml:space="preserve">https://fathom.video/share/1qVyfUyc73uRFgU_ZjBHK7UDE_uy8sLW</x:t>
        </x:is>
      </x:c>
      <x:c r="G83" s="48" t="inlineStr">
        <x:is>
          <x:t xml:space="preserve">no</x:t>
        </x:is>
      </x:c>
      <x:c r="H83" s="48" t="inlineStr">
        <x:is>
          <x:t xml:space="preserve">yes</x:t>
        </x:is>
      </x:c>
    </x:row>
    <x:row r="84">
      <x:c r="A84" s="48" t="inlineStr">
        <x:is>
          <x:t xml:space="preserve">Evolute Solutions Onboarding | Cesar Grullon</x:t>
        </x:is>
      </x:c>
      <x:c r="B84" s="48" t="inlineStr">
        <x:is>
          <x:t xml:space="preserve">2026-02-09T21:30:00Z</x:t>
        </x:is>
      </x:c>
      <x:c r="C84" s="48" t="inlineStr">
        <x:is>
          <x:t xml:space="preserve">2026-02-09T21:31:33Z</x:t>
        </x:is>
      </x:c>
      <x:c r="D84" s="48" t="inlineStr">
        <x:is>
          <x:t xml:space="preserve">2026-02-09T22:14:19Z</x:t>
        </x:is>
      </x:c>
      <x:c r="E84" s="79" t="inlineStr">
        <x:is>
          <x:t xml:space="preserve">https://fathom.video/share/YEgQ1eKP9qrgawMyqNpmGoCcf-zFeybp</x:t>
        </x:is>
      </x:c>
      <x:c r="G84" s="48" t="inlineStr">
        <x:is>
          <x:t xml:space="preserve">no</x:t>
        </x:is>
      </x:c>
      <x:c r="H84" s="48" t="inlineStr">
        <x:is>
          <x:t xml:space="preserve">yes</x:t>
        </x:is>
      </x:c>
    </x:row>
    <x:row r="85">
      <x:c r="A85" s="48" t="inlineStr">
        <x:is>
          <x:t xml:space="preserve">Kennedy  x  Maxwell - AI Growth Game Plan Call</x:t>
        </x:is>
      </x:c>
      <x:c r="B85" s="48" t="inlineStr">
        <x:is>
          <x:t xml:space="preserve">2026-02-09T17:00:00Z</x:t>
        </x:is>
      </x:c>
      <x:c r="C85" s="48" t="inlineStr">
        <x:is>
          <x:t xml:space="preserve">2026-02-09T17:01:32Z</x:t>
        </x:is>
      </x:c>
      <x:c r="D85" s="48" t="inlineStr">
        <x:is>
          <x:t xml:space="preserve">2026-02-09T17:20:32Z</x:t>
        </x:is>
      </x:c>
      <x:c r="E85" s="79" t="inlineStr">
        <x:is>
          <x:t xml:space="preserve">https://fathom.video/share/TpXfNEJh-ywb5WxAzzV_X_sz97y4BWsZ</x:t>
        </x:is>
      </x:c>
      <x:c r="G85" s="48" t="inlineStr">
        <x:is>
          <x:t xml:space="preserve">yes</x:t>
        </x:is>
      </x:c>
      <x:c r="H85" s="48" t="inlineStr">
        <x:is>
          <x:t xml:space="preserve">no</x:t>
        </x:is>
      </x:c>
    </x:row>
    <x:row r="86">
      <x:c r="A86" s="48" t="inlineStr">
        <x:is>
          <x:t xml:space="preserve">Davi + Max Daily Meeting</x:t>
        </x:is>
      </x:c>
      <x:c r="B86" s="48" t="inlineStr">
        <x:is>
          <x:t xml:space="preserve">2026-02-09T14:00:00Z</x:t>
        </x:is>
      </x:c>
      <x:c r="C86" s="48" t="inlineStr">
        <x:is>
          <x:t xml:space="preserve">2026-02-09T13:59:46Z</x:t>
        </x:is>
      </x:c>
      <x:c r="D86" s="48" t="inlineStr">
        <x:is>
          <x:t xml:space="preserve">2026-02-09T14:06:27Z</x:t>
        </x:is>
      </x:c>
      <x:c r="E86" s="79" t="inlineStr">
        <x:is>
          <x:t xml:space="preserve">https://fathom.video/share/ShxVjA9ddLFjTUEj6aQEiJxzmGyRALoU</x:t>
        </x:is>
      </x:c>
      <x:c r="G86" s="48" t="inlineStr">
        <x:is>
          <x:t xml:space="preserve">no</x:t>
        </x:is>
      </x:c>
      <x:c r="H86" s="48" t="inlineStr">
        <x:is>
          <x:t xml:space="preserve">yes</x:t>
        </x:is>
      </x:c>
    </x:row>
    <x:row r="87">
      <x:c r="A87" s="48" t="inlineStr">
        <x:is>
          <x:t xml:space="preserve">Impromptu Google Meet Meeting</x:t>
        </x:is>
      </x:c>
      <x:c r="B87" s="48" t="inlineStr">
        <x:is>
          <x:t xml:space="preserve">2026-02-06T19:05:38Z</x:t>
        </x:is>
      </x:c>
      <x:c r="C87" s="48" t="inlineStr">
        <x:is>
          <x:t xml:space="preserve">2026-02-06T19:09:06Z</x:t>
        </x:is>
      </x:c>
      <x:c r="D87" s="48" t="inlineStr">
        <x:is>
          <x:t xml:space="preserve">2026-02-06T19:18:18Z</x:t>
        </x:is>
      </x:c>
      <x:c r="E87" s="79" t="inlineStr">
        <x:is>
          <x:t xml:space="preserve">https://fathom.video/share/8wzqLdzX2A3pvTdALtaVeJJfvi552_PQ</x:t>
        </x:is>
      </x:c>
      <x:c r="G87" s="48" t="inlineStr">
        <x:is>
          <x:t xml:space="preserve">no</x:t>
        </x:is>
      </x:c>
      <x:c r="H87" s="48" t="inlineStr">
        <x:is>
          <x:t xml:space="preserve">yes</x:t>
        </x:is>
      </x:c>
    </x:row>
    <x:row r="88">
      <x:c r="A88" s="48" t="inlineStr">
        <x:is>
          <x:t xml:space="preserve">Impromptu Google Meet Meeting</x:t>
        </x:is>
      </x:c>
      <x:c r="B88" s="48" t="inlineStr">
        <x:is>
          <x:t xml:space="preserve">2026-02-06T18:54:31Z</x:t>
        </x:is>
      </x:c>
      <x:c r="C88" s="48" t="inlineStr">
        <x:is>
          <x:t xml:space="preserve">2026-02-06T18:55:07Z</x:t>
        </x:is>
      </x:c>
      <x:c r="D88" s="48" t="inlineStr">
        <x:is>
          <x:t xml:space="preserve">2026-02-06T19:01:20Z</x:t>
        </x:is>
      </x:c>
      <x:c r="E88" s="79" t="inlineStr">
        <x:is>
          <x:t xml:space="preserve">https://fathom.video/share/bybD3fws44RZyKDY3X7PipEBsjC67E-j</x:t>
        </x:is>
      </x:c>
      <x:c r="G88" s="48" t="inlineStr">
        <x:is>
          <x:t xml:space="preserve">no</x:t>
        </x:is>
      </x:c>
      <x:c r="H88" s="48" t="inlineStr">
        <x:is>
          <x:t xml:space="preserve">yes</x:t>
        </x:is>
      </x:c>
    </x:row>
    <x:row r="89">
      <x:c r="A89" s="48" t="inlineStr">
        <x:is>
          <x:t xml:space="preserve">Bilal Onboarding</x:t>
        </x:is>
      </x:c>
      <x:c r="B89" s="48" t="inlineStr">
        <x:is>
          <x:t xml:space="preserve">2026-02-06T18:30:00Z</x:t>
        </x:is>
      </x:c>
      <x:c r="C89" s="48" t="inlineStr">
        <x:is>
          <x:t xml:space="preserve">2026-02-06T18:34:23Z</x:t>
        </x:is>
      </x:c>
      <x:c r="D89" s="48" t="inlineStr">
        <x:is>
          <x:t xml:space="preserve">2026-02-06T18:54:25Z</x:t>
        </x:is>
      </x:c>
      <x:c r="E89" s="79" t="inlineStr">
        <x:is>
          <x:t xml:space="preserve">https://fathom.video/share/MhsuoCdzEz5rUpaDy7HM4awxRMeGidYM</x:t>
        </x:is>
      </x:c>
      <x:c r="G89" s="48" t="inlineStr">
        <x:is>
          <x:t xml:space="preserve">no</x:t>
        </x:is>
      </x:c>
      <x:c r="H89" s="48" t="inlineStr">
        <x:is>
          <x:t xml:space="preserve">yes</x:t>
        </x:is>
      </x:c>
    </x:row>
    <x:row r="90">
      <x:c r="A90" s="48" t="inlineStr">
        <x:is>
          <x:t xml:space="preserve">Oscar  x  Maxwell - AI Growth Game Plan Call</x:t>
        </x:is>
      </x:c>
      <x:c r="B90" s="48" t="inlineStr">
        <x:is>
          <x:t xml:space="preserve">2026-02-05T23:45:00Z</x:t>
        </x:is>
      </x:c>
      <x:c r="C90" s="48" t="inlineStr">
        <x:is>
          <x:t xml:space="preserve">2026-02-05T23:45:19Z</x:t>
        </x:is>
      </x:c>
      <x:c r="D90" s="48" t="inlineStr">
        <x:is>
          <x:t xml:space="preserve">2026-02-06T00:13:30Z</x:t>
        </x:is>
      </x:c>
      <x:c r="E90" s="79" t="inlineStr">
        <x:is>
          <x:t xml:space="preserve">https://fathom.video/share/uszCGtwYPuz7s18d97P5ghRf_9gdkrgE</x:t>
        </x:is>
      </x:c>
      <x:c r="G90" s="48" t="inlineStr">
        <x:is>
          <x:t xml:space="preserve">yes</x:t>
        </x:is>
      </x:c>
      <x:c r="H90" s="48" t="inlineStr">
        <x:is>
          <x:t xml:space="preserve">no</x:t>
        </x:is>
      </x:c>
    </x:row>
    <x:row r="91">
      <x:c r="A91" s="48" t="inlineStr">
        <x:is>
          <x:t xml:space="preserve">Willy Romero x  Maxwell - AI Growth Game Plan Call</x:t>
        </x:is>
      </x:c>
      <x:c r="B91" s="48" t="inlineStr">
        <x:is>
          <x:t xml:space="preserve">2026-02-05T22:30:00Z</x:t>
        </x:is>
      </x:c>
      <x:c r="C91" s="48" t="inlineStr">
        <x:is>
          <x:t xml:space="preserve">2026-02-05T22:46:01Z</x:t>
        </x:is>
      </x:c>
      <x:c r="D91" s="48" t="inlineStr">
        <x:is>
          <x:t xml:space="preserve">2026-02-05T23:11:18Z</x:t>
        </x:is>
      </x:c>
      <x:c r="E91" s="79" t="inlineStr">
        <x:is>
          <x:t xml:space="preserve">https://fathom.video/share/XVusBoCQuAZvx8MT-ikgy9SfmyuL5G2j</x:t>
        </x:is>
      </x:c>
      <x:c r="G91" s="48" t="inlineStr">
        <x:is>
          <x:t xml:space="preserve">yes</x:t>
        </x:is>
      </x:c>
      <x:c r="H91" s="48" t="inlineStr">
        <x:is>
          <x:t xml:space="preserve">no</x:t>
        </x:is>
      </x:c>
    </x:row>
    <x:row r="92">
      <x:c r="A92" s="48" t="inlineStr">
        <x:is>
          <x:t xml:space="preserve">Bill  x  Maxwell - AI Growth Game Plan Call</x:t>
        </x:is>
      </x:c>
      <x:c r="B92" s="48" t="inlineStr">
        <x:is>
          <x:t xml:space="preserve">2026-02-05T17:00:00Z</x:t>
        </x:is>
      </x:c>
      <x:c r="C92" s="48" t="inlineStr">
        <x:is>
          <x:t xml:space="preserve">2026-02-05T17:01:07Z</x:t>
        </x:is>
      </x:c>
      <x:c r="D92" s="48" t="inlineStr">
        <x:is>
          <x:t xml:space="preserve">2026-02-05T18:37:28Z</x:t>
        </x:is>
      </x:c>
      <x:c r="E92" s="79" t="inlineStr">
        <x:is>
          <x:t xml:space="preserve">https://fathom.video/share/GjBBq22pLqtfpbikM5RdtjyN12mLz-4L</x:t>
        </x:is>
      </x:c>
      <x:c r="G92" s="48" t="inlineStr">
        <x:is>
          <x:t xml:space="preserve">yes</x:t>
        </x:is>
      </x:c>
      <x:c r="H92" s="48" t="inlineStr">
        <x:is>
          <x:t xml:space="preserve">no</x:t>
        </x:is>
      </x:c>
    </x:row>
    <x:row r="93">
      <x:c r="A93" s="48" t="inlineStr">
        <x:is>
          <x:t xml:space="preserve">Kevin  x  Maxwell - AI Growth Game Plan Call</x:t>
        </x:is>
      </x:c>
      <x:c r="B93" s="48" t="inlineStr">
        <x:is>
          <x:t xml:space="preserve">2026-02-05T16:00:00Z</x:t>
        </x:is>
      </x:c>
      <x:c r="C93" s="48" t="inlineStr">
        <x:is>
          <x:t xml:space="preserve">2026-02-05T16:01:13Z</x:t>
        </x:is>
      </x:c>
      <x:c r="D93" s="48" t="inlineStr">
        <x:is>
          <x:t xml:space="preserve">2026-02-05T16:08:09Z</x:t>
        </x:is>
      </x:c>
      <x:c r="E93" s="79" t="inlineStr">
        <x:is>
          <x:t xml:space="preserve">https://fathom.video/share/P_hGKVQUb8yPjRbjsm3RE6Resrn7s2zC</x:t>
        </x:is>
      </x:c>
      <x:c r="G93" s="48" t="inlineStr">
        <x:is>
          <x:t xml:space="preserve">yes</x:t>
        </x:is>
      </x:c>
      <x:c r="H93" s="48" t="inlineStr">
        <x:is>
          <x:t xml:space="preserve">no</x:t>
        </x:is>
      </x:c>
    </x:row>
    <x:row r="94">
      <x:c r="A94" s="48" t="inlineStr">
        <x:is>
          <x:t xml:space="preserve">Setter Meeting</x:t>
        </x:is>
      </x:c>
      <x:c r="B94" s="48" t="inlineStr">
        <x:is>
          <x:t xml:space="preserve">2026-02-05T15:00:00Z</x:t>
        </x:is>
      </x:c>
      <x:c r="C94" s="48" t="inlineStr">
        <x:is>
          <x:t xml:space="preserve">2026-02-05T15:01:24Z</x:t>
        </x:is>
      </x:c>
      <x:c r="D94" s="48" t="inlineStr">
        <x:is>
          <x:t xml:space="preserve">2026-02-05T15:26:39Z</x:t>
        </x:is>
      </x:c>
      <x:c r="E94" s="79" t="inlineStr">
        <x:is>
          <x:t xml:space="preserve">https://fathom.video/share/zjGWPDZsj_83GCJf9zwbnWFRf51d8gs3</x:t>
        </x:is>
      </x:c>
      <x:c r="G94" s="48" t="inlineStr">
        <x:is>
          <x:t xml:space="preserve">no</x:t>
        </x:is>
      </x:c>
      <x:c r="H94" s="48" t="inlineStr">
        <x:is>
          <x:t xml:space="preserve">yes</x:t>
        </x:is>
      </x:c>
    </x:row>
    <x:row r="95">
      <x:c r="A95" s="48" t="inlineStr">
        <x:is>
          <x:t xml:space="preserve">Davi + Max Daily Meeting</x:t>
        </x:is>
      </x:c>
      <x:c r="B95" s="48" t="inlineStr">
        <x:is>
          <x:t xml:space="preserve">2026-02-05T14:00:00Z</x:t>
        </x:is>
      </x:c>
      <x:c r="C95" s="48" t="inlineStr">
        <x:is>
          <x:t xml:space="preserve">2026-02-05T13:59:18Z</x:t>
        </x:is>
      </x:c>
      <x:c r="D95" s="48" t="inlineStr">
        <x:is>
          <x:t xml:space="preserve">2026-02-05T14:41:06Z</x:t>
        </x:is>
      </x:c>
      <x:c r="E95" s="79" t="inlineStr">
        <x:is>
          <x:t xml:space="preserve">https://fathom.video/share/o77L5mokYytQei_ErK6y4JCZKhyDizLT</x:t>
        </x:is>
      </x:c>
      <x:c r="G95" s="48" t="inlineStr">
        <x:is>
          <x:t xml:space="preserve">no</x:t>
        </x:is>
      </x:c>
      <x:c r="H95" s="48" t="inlineStr">
        <x:is>
          <x:t xml:space="preserve">yes</x:t>
        </x:is>
      </x:c>
    </x:row>
    <x:row r="96">
      <x:c r="A96" s="48" t="inlineStr">
        <x:is>
          <x:t xml:space="preserve">Bilal Chat</x:t>
        </x:is>
      </x:c>
      <x:c r="B96" s="48" t="inlineStr">
        <x:is>
          <x:t xml:space="preserve">2026-02-05T13:30:00Z</x:t>
        </x:is>
      </x:c>
      <x:c r="C96" s="48" t="inlineStr">
        <x:is>
          <x:t xml:space="preserve">2026-02-05T13:29:59Z</x:t>
        </x:is>
      </x:c>
      <x:c r="D96" s="48" t="inlineStr">
        <x:is>
          <x:t xml:space="preserve">2026-02-05T13:35:56Z</x:t>
        </x:is>
      </x:c>
      <x:c r="E96" s="79" t="inlineStr">
        <x:is>
          <x:t xml:space="preserve">https://fathom.video/share/gxsh5ZiE4Pmi4SDxhTzKwF2gUmEB1Umn</x:t>
        </x:is>
      </x:c>
      <x:c r="G96" s="48" t="inlineStr">
        <x:is>
          <x:t xml:space="preserve">no</x:t>
        </x:is>
      </x:c>
      <x:c r="H96" s="48" t="inlineStr">
        <x:is>
          <x:t xml:space="preserve">yes</x:t>
        </x:is>
      </x:c>
    </x:row>
    <x:row r="97">
      <x:c r="A97" s="48" t="inlineStr">
        <x:is>
          <x:t xml:space="preserve">Fenelon  x  Maxwell - AI Growth Game Plan Call</x:t>
        </x:is>
      </x:c>
      <x:c r="B97" s="48" t="inlineStr">
        <x:is>
          <x:t xml:space="preserve">2026-02-04T22:00:00Z</x:t>
        </x:is>
      </x:c>
      <x:c r="C97" s="48" t="inlineStr">
        <x:is>
          <x:t xml:space="preserve">2026-02-04T22:00:37Z</x:t>
        </x:is>
      </x:c>
      <x:c r="D97" s="48" t="inlineStr">
        <x:is>
          <x:t xml:space="preserve">2026-02-04T22:55:10Z</x:t>
        </x:is>
      </x:c>
      <x:c r="E97" s="79" t="inlineStr">
        <x:is>
          <x:t xml:space="preserve">https://fathom.video/share/DD_P43FsbefQmsbauuACPz-c7_U9x_r_</x:t>
        </x:is>
      </x:c>
      <x:c r="G97" s="48" t="inlineStr">
        <x:is>
          <x:t xml:space="preserve">yes</x:t>
        </x:is>
      </x:c>
      <x:c r="H97" s="48" t="inlineStr">
        <x:is>
          <x:t xml:space="preserve">no</x:t>
        </x:is>
      </x:c>
    </x:row>
    <x:row r="98">
      <x:c r="A98" s="48" t="inlineStr">
        <x:is>
          <x:t xml:space="preserve">Impromptu Google Meet Meeting</x:t>
        </x:is>
      </x:c>
      <x:c r="B98" s="48" t="inlineStr">
        <x:is>
          <x:t xml:space="preserve">2026-02-04T17:14:20Z</x:t>
        </x:is>
      </x:c>
      <x:c r="C98" s="48" t="inlineStr">
        <x:is>
          <x:t xml:space="preserve">2026-02-04T17:16:11Z</x:t>
        </x:is>
      </x:c>
      <x:c r="D98" s="48" t="inlineStr">
        <x:is>
          <x:t xml:space="preserve">2026-02-04T17:34:00Z</x:t>
        </x:is>
      </x:c>
      <x:c r="E98" s="79" t="inlineStr">
        <x:is>
          <x:t xml:space="preserve">https://fathom.video/share/Gi4cdMECHm4aQMTfXsSQFsb3yKTSPqBs</x:t>
        </x:is>
      </x:c>
      <x:c r="G98" s="48" t="inlineStr">
        <x:is>
          <x:t xml:space="preserve">no</x:t>
        </x:is>
      </x:c>
      <x:c r="H98" s="48" t="inlineStr">
        <x:is>
          <x:t xml:space="preserve">yes</x:t>
        </x:is>
      </x:c>
    </x:row>
    <x:row r="99">
      <x:c r="A99" s="48" t="inlineStr">
        <x:is>
          <x:t xml:space="preserve">Cesar Grullon x  Maxwell - AI Growth Game Plan Call</x:t>
        </x:is>
      </x:c>
      <x:c r="B99" s="48" t="inlineStr">
        <x:is>
          <x:t xml:space="preserve">2026-02-04T16:00:00Z</x:t>
        </x:is>
      </x:c>
      <x:c r="C99" s="48" t="inlineStr">
        <x:is>
          <x:t xml:space="preserve">2026-02-04T16:01:47Z</x:t>
        </x:is>
      </x:c>
      <x:c r="D99" s="48" t="inlineStr">
        <x:is>
          <x:t xml:space="preserve">2026-02-04T17:15:26Z</x:t>
        </x:is>
      </x:c>
      <x:c r="E99" s="79" t="inlineStr">
        <x:is>
          <x:t xml:space="preserve">https://fathom.video/share/Sy6LcFeoacsyzC5_PgsPVemj_puW-63V</x:t>
        </x:is>
      </x:c>
      <x:c r="G99" s="48" t="inlineStr">
        <x:is>
          <x:t xml:space="preserve">yes</x:t>
        </x:is>
      </x:c>
      <x:c r="H99" s="48" t="inlineStr">
        <x:is>
          <x:t xml:space="preserve">no</x:t>
        </x:is>
      </x:c>
    </x:row>
    <x:row r="100">
      <x:c r="A100" s="48" t="inlineStr">
        <x:is>
          <x:t xml:space="preserve">Setter Meeting</x:t>
        </x:is>
      </x:c>
      <x:c r="B100" s="48" t="inlineStr">
        <x:is>
          <x:t xml:space="preserve">2026-02-04T15:00:00Z</x:t>
        </x:is>
      </x:c>
      <x:c r="C100" s="48" t="inlineStr">
        <x:is>
          <x:t xml:space="preserve">2026-02-04T14:59:39Z</x:t>
        </x:is>
      </x:c>
      <x:c r="D100" s="48" t="inlineStr">
        <x:is>
          <x:t xml:space="preserve">2026-02-04T15:44:51Z</x:t>
        </x:is>
      </x:c>
      <x:c r="E100" s="79" t="inlineStr">
        <x:is>
          <x:t xml:space="preserve">https://fathom.video/share/xzAKpdXWzArdQWe2MFuzB2reh3droL5d</x:t>
        </x:is>
      </x:c>
      <x:c r="G100" s="48" t="inlineStr">
        <x:is>
          <x:t xml:space="preserve">no</x:t>
        </x:is>
      </x:c>
      <x:c r="H100" s="48" t="inlineStr">
        <x:is>
          <x:t xml:space="preserve">yes</x:t>
        </x:is>
      </x:c>
    </x:row>
    <x:row r="101">
      <x:c r="A101" s="48" t="inlineStr">
        <x:is>
          <x:t xml:space="preserve">Pedro Inc x  Maxwell - AI Growth Game Plan Call</x:t>
        </x:is>
      </x:c>
      <x:c r="B101" s="48" t="inlineStr">
        <x:is>
          <x:t xml:space="preserve">2026-02-03T21:30:00Z</x:t>
        </x:is>
      </x:c>
      <x:c r="C101" s="48" t="inlineStr">
        <x:is>
          <x:t xml:space="preserve">2026-02-03T21:31:08Z</x:t>
        </x:is>
      </x:c>
      <x:c r="D101" s="48" t="inlineStr">
        <x:is>
          <x:t xml:space="preserve">2026-02-03T22:21:22Z</x:t>
        </x:is>
      </x:c>
      <x:c r="E101" s="79" t="inlineStr">
        <x:is>
          <x:t xml:space="preserve">https://fathom.video/share/pZNyDsoeojkQYb7jj3y49akPDyJLbPxU</x:t>
        </x:is>
      </x:c>
      <x:c r="G101" s="48" t="inlineStr">
        <x:is>
          <x:t xml:space="preserve">yes</x:t>
        </x:is>
      </x:c>
      <x:c r="H101" s="48" t="inlineStr">
        <x:is>
          <x:t xml:space="preserve">no</x:t>
        </x:is>
      </x:c>
    </x:row>
    <x:row r="102">
      <x:c r="A102" s="48" t="inlineStr">
        <x:is>
          <x:t xml:space="preserve">George Designer Homes x  Maxwell - AI Growth Game Plan Call</x:t>
        </x:is>
      </x:c>
      <x:c r="B102" s="48" t="inlineStr">
        <x:is>
          <x:t xml:space="preserve">2026-02-03T18:00:00Z</x:t>
        </x:is>
      </x:c>
      <x:c r="C102" s="48" t="inlineStr">
        <x:is>
          <x:t xml:space="preserve">2026-02-03T18:05:20Z</x:t>
        </x:is>
      </x:c>
      <x:c r="D102" s="48" t="inlineStr">
        <x:is>
          <x:t xml:space="preserve">2026-02-03T20:26:41Z</x:t>
        </x:is>
      </x:c>
      <x:c r="E102" s="79" t="inlineStr">
        <x:is>
          <x:t xml:space="preserve">https://fathom.video/share/MB9gi8hzZYyLKiyPtTPNMY5rGqCwDovk</x:t>
        </x:is>
      </x:c>
      <x:c r="G102" s="48" t="inlineStr">
        <x:is>
          <x:t xml:space="preserve">yes</x:t>
        </x:is>
      </x:c>
      <x:c r="H102" s="48" t="inlineStr">
        <x:is>
          <x:t xml:space="preserve">no</x:t>
        </x:is>
      </x:c>
    </x:row>
    <x:row r="103">
      <x:c r="A103" s="48" t="inlineStr">
        <x:is>
          <x:t xml:space="preserve">Impromptu Google Meet Meeting</x:t>
        </x:is>
      </x:c>
      <x:c r="B103" s="48" t="inlineStr">
        <x:is>
          <x:t xml:space="preserve">2026-02-03T16:40:36Z</x:t>
        </x:is>
      </x:c>
      <x:c r="C103" s="48" t="inlineStr">
        <x:is>
          <x:t xml:space="preserve">2026-02-03T16:42:43Z</x:t>
        </x:is>
      </x:c>
      <x:c r="D103" s="48" t="inlineStr">
        <x:is>
          <x:t xml:space="preserve">2026-02-03T17:46:21Z</x:t>
        </x:is>
      </x:c>
      <x:c r="E103" s="79" t="inlineStr">
        <x:is>
          <x:t xml:space="preserve">https://fathom.video/share/n5FF2xMCBJKHBndRsCqLyexQhhWxUQkx</x:t>
        </x:is>
      </x:c>
      <x:c r="G103" s="48" t="inlineStr">
        <x:is>
          <x:t xml:space="preserve">no</x:t>
        </x:is>
      </x:c>
      <x:c r="H103" s="48" t="inlineStr">
        <x:is>
          <x:t xml:space="preserve">yes</x:t>
        </x:is>
      </x:c>
      <x:c r="J103" t="inlineStr">
        <x:is>
          <x:t xml:space="preserve">Yes</x:t>
        </x:is>
      </x:c>
      <x:c r="L103" t="inlineStr">
        <x:is>
          <x:t xml:space="preserve">Sales call yes. Added to All Booked Calls Data.</x:t>
        </x:is>
      </x:c>
    </x:row>
    <x:row r="104">
      <x:c r="A104" s="48" t="inlineStr">
        <x:is>
          <x:t xml:space="preserve">Impromptu Google Meet Meeting</x:t>
        </x:is>
      </x:c>
      <x:c r="B104" s="48" t="inlineStr">
        <x:is>
          <x:t xml:space="preserve">2026-02-03T14:34:58Z</x:t>
        </x:is>
      </x:c>
      <x:c r="C104" s="48" t="inlineStr">
        <x:is>
          <x:t xml:space="preserve">2026-02-03T14:35:27Z</x:t>
        </x:is>
      </x:c>
      <x:c r="D104" s="48" t="inlineStr">
        <x:is>
          <x:t xml:space="preserve">2026-02-03T14:55:48Z</x:t>
        </x:is>
      </x:c>
      <x:c r="E104" s="79" t="inlineStr">
        <x:is>
          <x:t xml:space="preserve">https://fathom.video/share/zQsyDsyKxDQrc4Gyb5PzB3mpfQ1MU3Yx</x:t>
        </x:is>
      </x:c>
      <x:c r="G104" s="48" t="inlineStr">
        <x:is>
          <x:t xml:space="preserve">no</x:t>
        </x:is>
      </x:c>
      <x:c r="H104" s="48" t="inlineStr">
        <x:is>
          <x:t xml:space="preserve">yes</x:t>
        </x:is>
      </x:c>
    </x:row>
    <x:row r="105">
      <x:c r="A105" s="48" t="inlineStr">
        <x:is>
          <x:t xml:space="preserve">Nate Plus x  Maxwell - AI Growth Game Plan Call</x:t>
        </x:is>
      </x:c>
      <x:c r="B105" s="48" t="inlineStr">
        <x:is>
          <x:t xml:space="preserve">2026-02-02T22:30:00Z</x:t>
        </x:is>
      </x:c>
      <x:c r="C105" s="48" t="inlineStr">
        <x:is>
          <x:t xml:space="preserve">2026-02-02T22:43:44Z</x:t>
        </x:is>
      </x:c>
      <x:c r="D105" s="48" t="inlineStr">
        <x:is>
          <x:t xml:space="preserve">2026-02-02T23:38:09Z</x:t>
        </x:is>
      </x:c>
      <x:c r="E105" s="79" t="inlineStr">
        <x:is>
          <x:t xml:space="preserve">https://fathom.video/share/nrSzCCtMNLMLNyL1ymLNqCNnXefDc6no</x:t>
        </x:is>
      </x:c>
      <x:c r="G105" s="48" t="inlineStr">
        <x:is>
          <x:t xml:space="preserve">yes</x:t>
        </x:is>
      </x:c>
      <x:c r="H105" s="48" t="inlineStr">
        <x:is>
          <x:t xml:space="preserve">no</x:t>
        </x:is>
      </x:c>
    </x:row>
    <x:row r="106">
      <x:c r="A106" s="48" t="inlineStr">
        <x:is>
          <x:t xml:space="preserve">Mike Aiello x  Maxwell - AI Growth Game Plan Call</x:t>
        </x:is>
      </x:c>
      <x:c r="B106" s="48" t="inlineStr">
        <x:is>
          <x:t xml:space="preserve">2026-02-02T17:00:00Z</x:t>
        </x:is>
      </x:c>
      <x:c r="C106" s="48" t="inlineStr">
        <x:is>
          <x:t xml:space="preserve">2026-02-02T17:00:13Z</x:t>
        </x:is>
      </x:c>
      <x:c r="D106" s="48" t="inlineStr">
        <x:is>
          <x:t xml:space="preserve">2026-02-02T18:18:33Z</x:t>
        </x:is>
      </x:c>
      <x:c r="E106" s="79" t="inlineStr">
        <x:is>
          <x:t xml:space="preserve">https://fathom.video/share/LCkk45kjSAond8o45MbDUF3_61a-EZF2</x:t>
        </x:is>
      </x:c>
      <x:c r="G106" s="48" t="inlineStr">
        <x:is>
          <x:t xml:space="preserve">yes</x:t>
        </x:is>
      </x:c>
      <x:c r="H106" s="48" t="inlineStr">
        <x:is>
          <x:t xml:space="preserve">no</x:t>
        </x:is>
      </x:c>
    </x:row>
    <x:row r="107">
      <x:c r="A107" s="48" t="inlineStr">
        <x:is>
          <x:t xml:space="preserve">Davi + Max Daily Meeting</x:t>
        </x:is>
      </x:c>
      <x:c r="B107" s="48" t="inlineStr">
        <x:is>
          <x:t xml:space="preserve">2026-02-02T14:00:00Z</x:t>
        </x:is>
      </x:c>
      <x:c r="C107" s="48" t="inlineStr">
        <x:is>
          <x:t xml:space="preserve">2026-02-02T14:00:28Z</x:t>
        </x:is>
      </x:c>
      <x:c r="D107" s="48" t="inlineStr">
        <x:is>
          <x:t xml:space="preserve">2026-02-02T14:06:15Z</x:t>
        </x:is>
      </x:c>
      <x:c r="E107" s="79" t="inlineStr">
        <x:is>
          <x:t xml:space="preserve">https://fathom.video/share/EKYLwSmURwK5PnF7twy3BRb_4z2DyrZu</x:t>
        </x:is>
      </x:c>
      <x:c r="G107" s="48" t="inlineStr">
        <x:is>
          <x:t xml:space="preserve">no</x:t>
        </x:is>
      </x:c>
      <x:c r="H107" s="48" t="inlineStr">
        <x:is>
          <x:t xml:space="preserve">yes</x:t>
        </x:is>
      </x:c>
    </x:row>
  </x:sheetData>
  <x:pageMargins left="0.7" right="0.7" top="0.75" bottom="0.75" header="0.3" footer="0.3"/>
</x:worksheet>
</file>

<file path=xl/worksheets/sheet8.xml><?xml version="1.0" encoding="utf-8"?>
<x:worksheet xmlns:x="http://schemas.openxmlformats.org/spreadsheetml/2006/main">
  <x:sheetFormatPr baseColWidth="8" defaultColWidth="14.430000305175781" defaultRowHeight="15"/>
  <x:cols>
    <x:col min="1" max="1" width="50" style="116" customWidth="1"/>
    <x:col min="11" max="11" width="26.56999969482422" style="116" customWidth="1"/>
  </x:cols>
  <x:sheetData>
    <x:row r="1">
      <x:c r="A1" s="48" t="inlineStr">
        <x:is>
          <x:t xml:space="preserve">Title</x:t>
        </x:is>
      </x:c>
      <x:c r="B1" s="48" t="inlineStr">
        <x:is>
          <x:t xml:space="preserve">URL</x:t>
        </x:is>
      </x:c>
      <x:c r="C1" s="48" t="inlineStr">
        <x:is>
          <x:t xml:space="preserve">Is Sales? NO</x:t>
        </x:is>
      </x:c>
      <x:c r="D1" s="48" t="inlineStr">
        <x:is>
          <x:t xml:space="preserve">Is Sales? YES</x:t>
        </x:is>
      </x:c>
      <x:c r="E1" s="48" t="inlineStr">
        <x:is>
          <x:t xml:space="preserve">Scheduled</x:t>
        </x:is>
      </x:c>
      <x:c r="F1" s="48" t="inlineStr">
        <x:is>
          <x:t xml:space="preserve">RecordingStart</x:t>
        </x:is>
      </x:c>
      <x:c r="G1" s="48" t="inlineStr">
        <x:is>
          <x:t xml:space="preserve">CreatedAt</x:t>
        </x:is>
      </x:c>
      <x:c r="H1" s="48" t="inlineStr">
        <x:is>
          <x:t xml:space="preserve">DurationSec</x:t>
        </x:is>
      </x:c>
      <x:c r="I1" s="48" t="inlineStr">
        <x:is>
          <x:t xml:space="preserve">LikelySales</x:t>
        </x:is>
      </x:c>
      <x:c r="J1" s="48" t="inlineStr">
        <x:is>
          <x:t xml:space="preserve">Uncertain</x:t>
        </x:is>
      </x:c>
      <x:c r="K1" s="48" t="inlineStr">
        <x:is>
          <x:t xml:space="preserve">Lead Name (override)</x:t>
        </x:is>
      </x:c>
      <x:c r="L1" s="48" t="inlineStr">
        <x:is>
          <x:t xml:space="preserve">Source (Cold SMS/Meta/Other)</x:t>
        </x:is>
      </x:c>
      <x:c r="M1" s="48" t="inlineStr">
        <x:is>
          <x:t xml:space="preserve">Notes</x:t>
        </x:is>
      </x:c>
    </x:row>
    <x:row r="2">
      <x:c r="A2" s="48" t="inlineStr">
        <x:is>
          <x:t xml:space="preserve">Bilal</x:t>
        </x:is>
      </x:c>
      <x:c r="B2" s="79" t="inlineStr">
        <x:is>
          <x:t xml:space="preserve">https://fathom.video/share/uAqoGK_k7gZGo4UduTsdL11r8mPsb1ax</x:t>
        </x:is>
      </x:c>
      <x:c r="C2" s="48" t="b">
        <x:v>1</x:v>
      </x:c>
      <x:c r="D2" s="48" t="b">
        <x:v>0</x:v>
      </x:c>
      <x:c r="E2" s="48" t="inlineStr">
        <x:is>
          <x:t xml:space="preserve">2026-03-18T14:15:00Z</x:t>
        </x:is>
      </x:c>
      <x:c r="F2" s="48" t="inlineStr">
        <x:is>
          <x:t xml:space="preserve">2026-03-18T14:18:38Z</x:t>
        </x:is>
      </x:c>
      <x:c r="G2" s="48" t="inlineStr">
        <x:is>
          <x:t xml:space="preserve">2026-03-18T14:35:46Z</x:t>
        </x:is>
      </x:c>
      <x:c r="I2" s="48" t="inlineStr">
        <x:is>
          <x:t xml:space="preserve">no</x:t>
        </x:is>
      </x:c>
      <x:c r="J2" s="48" t="inlineStr">
        <x:is>
          <x:t xml:space="preserve">yes</x:t>
        </x:is>
      </x:c>
    </x:row>
    <x:row r="3">
      <x:c r="A3" s="48" t="inlineStr">
        <x:is>
          <x:t xml:space="preserve">Impromptu Google Meet Meeting</x:t>
        </x:is>
      </x:c>
      <x:c r="B3" s="79" t="inlineStr">
        <x:is>
          <x:t xml:space="preserve">https://fathom.video/share/FCXvJHfXPdv99xFLRKEifkdsyw5E1hcx</x:t>
        </x:is>
      </x:c>
      <x:c r="C3" s="48" t="b">
        <x:v>1</x:v>
      </x:c>
      <x:c r="D3" s="48" t="b">
        <x:v>0</x:v>
      </x:c>
      <x:c r="E3" s="48" t="inlineStr">
        <x:is>
          <x:t xml:space="preserve">2026-03-16T17:14:36Z</x:t>
        </x:is>
      </x:c>
      <x:c r="F3" s="48" t="inlineStr">
        <x:is>
          <x:t xml:space="preserve">2026-03-16T17:19:52Z</x:t>
        </x:is>
      </x:c>
      <x:c r="G3" s="48" t="inlineStr">
        <x:is>
          <x:t xml:space="preserve">2026-03-16T18:24:24Z</x:t>
        </x:is>
      </x:c>
      <x:c r="I3" s="48" t="inlineStr">
        <x:is>
          <x:t xml:space="preserve">no</x:t>
        </x:is>
      </x:c>
      <x:c r="J3" s="48" t="inlineStr">
        <x:is>
          <x:t xml:space="preserve">yes</x:t>
        </x:is>
      </x:c>
    </x:row>
    <x:row r="4">
      <x:c r="A4" s="48" t="inlineStr">
        <x:is>
          <x:t xml:space="preserve">Impromptu Google Meet Meeting</x:t>
        </x:is>
      </x:c>
      <x:c r="B4" s="79" t="inlineStr">
        <x:is>
          <x:t xml:space="preserve">https://fathom.video/share/nnADnypbbYx48byysSp8Sqm_-oPuahRf</x:t>
        </x:is>
      </x:c>
      <x:c r="C4" s="48" t="b">
        <x:v>1</x:v>
      </x:c>
      <x:c r="D4" s="48" t="b">
        <x:v>0</x:v>
      </x:c>
      <x:c r="E4" s="48" t="inlineStr">
        <x:is>
          <x:t xml:space="preserve">2026-03-13T16:34:46Z</x:t>
        </x:is>
      </x:c>
      <x:c r="F4" s="48" t="inlineStr">
        <x:is>
          <x:t xml:space="preserve">2026-03-13T16:35:24Z</x:t>
        </x:is>
      </x:c>
      <x:c r="G4" s="48" t="inlineStr">
        <x:is>
          <x:t xml:space="preserve">2026-03-13T17:40:27Z</x:t>
        </x:is>
      </x:c>
      <x:c r="I4" s="48" t="inlineStr">
        <x:is>
          <x:t xml:space="preserve">no</x:t>
        </x:is>
      </x:c>
      <x:c r="J4" s="48" t="inlineStr">
        <x:is>
          <x:t xml:space="preserve">yes</x:t>
        </x:is>
      </x:c>
    </x:row>
    <x:row r="5">
      <x:c r="A5" s="48" t="inlineStr">
        <x:is>
          <x:t xml:space="preserve">Bilal</x:t>
        </x:is>
      </x:c>
      <x:c r="B5" s="79" t="inlineStr">
        <x:is>
          <x:t xml:space="preserve">https://fathom.video/share/uVyKTLu9ioPN51HeWUJAKuHtWz1aH_Cy</x:t>
        </x:is>
      </x:c>
      <x:c r="C5" s="48" t="b">
        <x:v>1</x:v>
      </x:c>
      <x:c r="D5" s="48" t="b">
        <x:v>0</x:v>
      </x:c>
      <x:c r="E5" s="48" t="inlineStr">
        <x:is>
          <x:t xml:space="preserve">2026-03-10T14:15:00Z</x:t>
        </x:is>
      </x:c>
      <x:c r="F5" s="48" t="inlineStr">
        <x:is>
          <x:t xml:space="preserve">2026-03-10T14:18:08Z</x:t>
        </x:is>
      </x:c>
      <x:c r="G5" s="48" t="inlineStr">
        <x:is>
          <x:t xml:space="preserve">2026-03-10T14:44:08Z</x:t>
        </x:is>
      </x:c>
      <x:c r="I5" s="48" t="inlineStr">
        <x:is>
          <x:t xml:space="preserve">no</x:t>
        </x:is>
      </x:c>
      <x:c r="J5" s="48" t="inlineStr">
        <x:is>
          <x:t xml:space="preserve">yes</x:t>
        </x:is>
      </x:c>
    </x:row>
    <x:row r="6">
      <x:c r="A6" s="48" t="inlineStr">
        <x:is>
          <x:t xml:space="preserve">Joe</x:t>
        </x:is>
      </x:c>
      <x:c r="B6" s="79" t="inlineStr">
        <x:is>
          <x:t xml:space="preserve">https://fathom.video/share/k6mzJ2BDqUbnf6b8p-kUF3BnFzRye3mS</x:t>
        </x:is>
      </x:c>
      <x:c r="C6" s="48" t="b">
        <x:v>0</x:v>
      </x:c>
      <x:c r="D6" s="48" t="b">
        <x:v>1</x:v>
      </x:c>
      <x:c r="E6" s="48" t="inlineStr">
        <x:is>
          <x:t xml:space="preserve">2026-03-09T16:00:00Z</x:t>
        </x:is>
      </x:c>
      <x:c r="F6" s="48" t="inlineStr">
        <x:is>
          <x:t xml:space="preserve">2026-03-09T16:02:32Z</x:t>
        </x:is>
      </x:c>
      <x:c r="G6" s="48" t="inlineStr">
        <x:is>
          <x:t xml:space="preserve">2026-03-09T17:12:25Z</x:t>
        </x:is>
      </x:c>
      <x:c r="I6" s="48" t="inlineStr">
        <x:is>
          <x:t xml:space="preserve">no</x:t>
        </x:is>
      </x:c>
      <x:c r="J6" s="48" t="inlineStr">
        <x:is>
          <x:t xml:space="preserve">yes</x:t>
        </x:is>
      </x:c>
    </x:row>
    <x:row r="7">
      <x:c r="A7" s="48" t="inlineStr">
        <x:is>
          <x:t xml:space="preserve">Bilal</x:t>
        </x:is>
      </x:c>
      <x:c r="B7" s="79" t="inlineStr">
        <x:is>
          <x:t xml:space="preserve">https://fathom.video/share/BW77ZSJvxuY4LpJxx2v9jBQLK5kTSZaT</x:t>
        </x:is>
      </x:c>
      <x:c r="C7" s="48" t="b">
        <x:v>1</x:v>
      </x:c>
      <x:c r="D7" s="48" t="b">
        <x:v>0</x:v>
      </x:c>
      <x:c r="E7" s="48" t="inlineStr">
        <x:is>
          <x:t xml:space="preserve">2026-03-09T14:15:00Z</x:t>
        </x:is>
      </x:c>
      <x:c r="F7" s="48" t="inlineStr">
        <x:is>
          <x:t xml:space="preserve">2026-03-09T14:16:34Z</x:t>
        </x:is>
      </x:c>
      <x:c r="G7" s="48" t="inlineStr">
        <x:is>
          <x:t xml:space="preserve">2026-03-09T14:44:07Z</x:t>
        </x:is>
      </x:c>
      <x:c r="I7" s="48" t="inlineStr">
        <x:is>
          <x:t xml:space="preserve">no</x:t>
        </x:is>
      </x:c>
      <x:c r="J7" s="48" t="inlineStr">
        <x:is>
          <x:t xml:space="preserve">yes</x:t>
        </x:is>
      </x:c>
    </x:row>
    <x:row r="8">
      <x:c r="A8" s="48" t="inlineStr">
        <x:is>
          <x:t xml:space="preserve">Impromptu Google Meet Meeting</x:t>
        </x:is>
      </x:c>
      <x:c r="B8" s="79" t="inlineStr">
        <x:is>
          <x:t xml:space="preserve">https://fathom.video/share/JtuNdfPgT5BgwHog7wz3cLzFhrw4gx6U</x:t>
        </x:is>
      </x:c>
      <x:c r="C8" s="48" t="b">
        <x:v>0</x:v>
      </x:c>
      <x:c r="D8" s="48" t="b">
        <x:v>1</x:v>
      </x:c>
      <x:c r="E8" s="48" t="inlineStr">
        <x:is>
          <x:t xml:space="preserve">2026-03-07T15:54:52Z</x:t>
        </x:is>
      </x:c>
      <x:c r="F8" s="48" t="inlineStr">
        <x:is>
          <x:t xml:space="preserve">2026-03-07T15:58:08Z</x:t>
        </x:is>
      </x:c>
      <x:c r="G8" s="48" t="inlineStr">
        <x:is>
          <x:t xml:space="preserve">2026-03-07T16:45:06Z</x:t>
        </x:is>
      </x:c>
      <x:c r="I8" s="48" t="inlineStr">
        <x:is>
          <x:t xml:space="preserve">no</x:t>
        </x:is>
      </x:c>
      <x:c r="J8" s="48" t="inlineStr">
        <x:is>
          <x:t xml:space="preserve">yes</x:t>
        </x:is>
      </x:c>
    </x:row>
    <x:row r="9">
      <x:c r="A9" s="48" t="inlineStr">
        <x:is>
          <x:t xml:space="preserve">Impromptu Google Meet Meeting</x:t>
        </x:is>
      </x:c>
      <x:c r="B9" s="79" t="inlineStr">
        <x:is>
          <x:t xml:space="preserve">https://fathom.video/share/2wJYubyqeuEb9AHzsbfBTowzPrGg1yHg</x:t>
        </x:is>
      </x:c>
      <x:c r="C9" s="48" t="b">
        <x:v>0</x:v>
      </x:c>
      <x:c r="D9" s="48" t="b">
        <x:v>1</x:v>
      </x:c>
      <x:c r="E9" s="48" t="inlineStr">
        <x:is>
          <x:t xml:space="preserve">2026-03-06T14:17:50Z</x:t>
        </x:is>
      </x:c>
      <x:c r="F9" s="48" t="inlineStr">
        <x:is>
          <x:t xml:space="preserve">2026-03-06T14:18:34Z</x:t>
        </x:is>
      </x:c>
      <x:c r="G9" s="48" t="inlineStr">
        <x:is>
          <x:t xml:space="preserve">2026-03-06T15:10:30Z</x:t>
        </x:is>
      </x:c>
      <x:c r="I9" s="48" t="inlineStr">
        <x:is>
          <x:t xml:space="preserve">no</x:t>
        </x:is>
      </x:c>
      <x:c r="J9" s="48" t="inlineStr">
        <x:is>
          <x:t xml:space="preserve">yes</x:t>
        </x:is>
      </x:c>
    </x:row>
    <x:row r="10">
      <x:c r="A10" s="48" t="inlineStr">
        <x:is>
          <x:t xml:space="preserve">Impromptu Google Meet Meeting</x:t>
        </x:is>
      </x:c>
      <x:c r="B10" s="79" t="inlineStr">
        <x:is>
          <x:t xml:space="preserve">https://fathom.video/share/on47jqiHrKpEMT4HFuRAjM1z4-rnxjc5</x:t>
        </x:is>
      </x:c>
      <x:c r="C10" s="48" t="b">
        <x:v>0</x:v>
      </x:c>
      <x:c r="D10" s="48" t="b">
        <x:v>1</x:v>
      </x:c>
      <x:c r="E10" s="48" t="inlineStr">
        <x:is>
          <x:t xml:space="preserve">2026-03-04T17:01:13Z</x:t>
        </x:is>
      </x:c>
      <x:c r="F10" s="48" t="inlineStr">
        <x:is>
          <x:t xml:space="preserve">2026-03-04T17:02:11Z</x:t>
        </x:is>
      </x:c>
      <x:c r="G10" s="48" t="inlineStr">
        <x:is>
          <x:t xml:space="preserve">2026-03-04T17:47:25Z</x:t>
        </x:is>
      </x:c>
      <x:c r="I10" s="48" t="inlineStr">
        <x:is>
          <x:t xml:space="preserve">no</x:t>
        </x:is>
      </x:c>
      <x:c r="J10" s="48" t="inlineStr">
        <x:is>
          <x:t xml:space="preserve">yes</x:t>
        </x:is>
      </x:c>
    </x:row>
    <x:row r="11">
      <x:c r="A11" s="48" t="inlineStr">
        <x:is>
          <x:t xml:space="preserve"> Raj </x:t>
        </x:is>
      </x:c>
      <x:c r="B11" s="79" t="inlineStr">
        <x:is>
          <x:t xml:space="preserve">https://fathom.video/share/Z2zxqgknBXZmoEzBzfs4azyyVDPyJ5Q9</x:t>
        </x:is>
      </x:c>
      <x:c r="C11" s="48" t="b">
        <x:v>0</x:v>
      </x:c>
      <x:c r="D11" s="48" t="b">
        <x:v>1</x:v>
      </x:c>
      <x:c r="E11" s="48" t="inlineStr">
        <x:is>
          <x:t xml:space="preserve">2026-03-04T16:00:00Z</x:t>
        </x:is>
      </x:c>
      <x:c r="F11" s="48" t="inlineStr">
        <x:is>
          <x:t xml:space="preserve">2026-03-04T16:03:48Z</x:t>
        </x:is>
      </x:c>
      <x:c r="G11" s="48" t="inlineStr">
        <x:is>
          <x:t xml:space="preserve">2026-03-04T16:32:32Z</x:t>
        </x:is>
      </x:c>
      <x:c r="I11" s="48" t="inlineStr">
        <x:is>
          <x:t xml:space="preserve">no</x:t>
        </x:is>
      </x:c>
      <x:c r="J11" s="48" t="inlineStr">
        <x:is>
          <x:t xml:space="preserve">yes</x:t>
        </x:is>
      </x:c>
    </x:row>
    <x:row r="12">
      <x:c r="A12" s="48" t="inlineStr">
        <x:is>
          <x:t xml:space="preserve">Impromptu Google Meet Meeting</x:t>
        </x:is>
      </x:c>
      <x:c r="B12" s="79" t="inlineStr">
        <x:is>
          <x:t xml:space="preserve">https://fathom.video/share/s6asKiNW2Tj5Qwtx7CsxB_f_m78rdhrf</x:t>
        </x:is>
      </x:c>
      <x:c r="C12" s="48" t="b">
        <x:v>1</x:v>
      </x:c>
      <x:c r="D12" s="48" t="b">
        <x:v>0</x:v>
      </x:c>
      <x:c r="E12" s="48" t="inlineStr">
        <x:is>
          <x:t xml:space="preserve">2026-03-04T15:56:45Z</x:t>
        </x:is>
      </x:c>
      <x:c r="F12" s="48" t="inlineStr">
        <x:is>
          <x:t xml:space="preserve">2026-03-04T15:57:29Z</x:t>
        </x:is>
      </x:c>
      <x:c r="G12" s="48" t="inlineStr">
        <x:is>
          <x:t xml:space="preserve">2026-03-04T16:04:38Z</x:t>
        </x:is>
      </x:c>
      <x:c r="I12" s="48" t="inlineStr">
        <x:is>
          <x:t xml:space="preserve">no</x:t>
        </x:is>
      </x:c>
      <x:c r="J12" s="48" t="inlineStr">
        <x:is>
          <x:t xml:space="preserve">yes</x:t>
        </x:is>
      </x:c>
    </x:row>
    <x:row r="13">
      <x:c r="A13" s="48" t="inlineStr">
        <x:is>
          <x:t xml:space="preserve">Bilal</x:t>
        </x:is>
      </x:c>
      <x:c r="B13" s="79" t="inlineStr">
        <x:is>
          <x:t xml:space="preserve">https://fathom.video/share/mrY1YPCwBXHanXLz4D2vyx8jhgko_asQ</x:t>
        </x:is>
      </x:c>
      <x:c r="C13" s="48" t="b">
        <x:v>1</x:v>
      </x:c>
      <x:c r="D13" s="48" t="b">
        <x:v>0</x:v>
      </x:c>
      <x:c r="E13" s="48" t="inlineStr">
        <x:is>
          <x:t xml:space="preserve">2026-03-04T14:15:00Z</x:t>
        </x:is>
      </x:c>
      <x:c r="F13" s="48" t="inlineStr">
        <x:is>
          <x:t xml:space="preserve">2026-03-04T14:19:19Z</x:t>
        </x:is>
      </x:c>
      <x:c r="G13" s="48" t="inlineStr">
        <x:is>
          <x:t xml:space="preserve">2026-03-04T14:27:16Z</x:t>
        </x:is>
      </x:c>
      <x:c r="I13" s="48" t="inlineStr">
        <x:is>
          <x:t xml:space="preserve">no</x:t>
        </x:is>
      </x:c>
      <x:c r="J13" s="48" t="inlineStr">
        <x:is>
          <x:t xml:space="preserve">yes</x:t>
        </x:is>
      </x:c>
    </x:row>
    <x:row r="14">
      <x:c r="A14" s="48" t="inlineStr">
        <x:is>
          <x:t xml:space="preserve">Davi + Max Daily Meeting</x:t>
        </x:is>
      </x:c>
      <x:c r="B14" s="79" t="inlineStr">
        <x:is>
          <x:t xml:space="preserve">https://fathom.video/share/mpRC8HCr-iXuo87ayVC2sQWtePzq_EEV</x:t>
        </x:is>
      </x:c>
      <x:c r="C14" s="48" t="b">
        <x:v>1</x:v>
      </x:c>
      <x:c r="D14" s="48" t="b">
        <x:v>0</x:v>
      </x:c>
      <x:c r="E14" s="48" t="inlineStr">
        <x:is>
          <x:t xml:space="preserve">2026-03-03T14:00:00Z</x:t>
        </x:is>
      </x:c>
      <x:c r="F14" s="48" t="inlineStr">
        <x:is>
          <x:t xml:space="preserve">2026-03-03T14:02:00Z</x:t>
        </x:is>
      </x:c>
      <x:c r="G14" s="48" t="inlineStr">
        <x:is>
          <x:t xml:space="preserve">2026-03-03T14:25:00Z</x:t>
        </x:is>
      </x:c>
      <x:c r="I14" s="48" t="inlineStr">
        <x:is>
          <x:t xml:space="preserve">no</x:t>
        </x:is>
      </x:c>
      <x:c r="J14" s="48" t="inlineStr">
        <x:is>
          <x:t xml:space="preserve">yes</x:t>
        </x:is>
      </x:c>
    </x:row>
    <x:row r="15">
      <x:c r="A15" s="48" t="inlineStr">
        <x:is>
          <x:t xml:space="preserve"> Austin Bennett</x:t>
        </x:is>
      </x:c>
      <x:c r="B15" s="79" t="inlineStr">
        <x:is>
          <x:t xml:space="preserve">https://fathom.video/share/joxUM911sL74pdZFofGdXzxi5z91wt2G</x:t>
        </x:is>
      </x:c>
      <x:c r="C15" s="48" t="b">
        <x:v>0</x:v>
      </x:c>
      <x:c r="D15" s="48" t="b">
        <x:v>1</x:v>
      </x:c>
      <x:c r="E15" s="48" t="inlineStr">
        <x:is>
          <x:t xml:space="preserve">2026-03-02T22:30:00Z</x:t>
        </x:is>
      </x:c>
      <x:c r="F15" s="48" t="inlineStr">
        <x:is>
          <x:t xml:space="preserve">2026-03-02T22:35:24Z</x:t>
        </x:is>
      </x:c>
      <x:c r="G15" s="48" t="inlineStr">
        <x:is>
          <x:t xml:space="preserve">2026-03-02T23:09:20Z</x:t>
        </x:is>
      </x:c>
      <x:c r="I15" s="48" t="inlineStr">
        <x:is>
          <x:t xml:space="preserve">no</x:t>
        </x:is>
      </x:c>
      <x:c r="J15" s="48" t="inlineStr">
        <x:is>
          <x:t xml:space="preserve">yes</x:t>
        </x:is>
      </x:c>
    </x:row>
    <x:row r="16">
      <x:c r="A16" s="48" t="inlineStr">
        <x:is>
          <x:t xml:space="preserve">Davi + Max Daily Meeting</x:t>
        </x:is>
      </x:c>
      <x:c r="B16" s="79" t="inlineStr">
        <x:is>
          <x:t xml:space="preserve">https://fathom.video/share/RCLGHKpi__YuhACH6zyCtDyz7FmrVacu</x:t>
        </x:is>
      </x:c>
      <x:c r="C16" s="48" t="b">
        <x:v>1</x:v>
      </x:c>
      <x:c r="D16" s="48" t="b">
        <x:v>0</x:v>
      </x:c>
      <x:c r="E16" s="48" t="inlineStr">
        <x:is>
          <x:t xml:space="preserve">2026-03-02T14:00:00Z</x:t>
        </x:is>
      </x:c>
      <x:c r="F16" s="48" t="inlineStr">
        <x:is>
          <x:t xml:space="preserve">2026-03-02T14:02:18Z</x:t>
        </x:is>
      </x:c>
      <x:c r="G16" s="48" t="inlineStr">
        <x:is>
          <x:t xml:space="preserve">2026-03-02T14:41:39Z</x:t>
        </x:is>
      </x:c>
      <x:c r="I16" s="48" t="inlineStr">
        <x:is>
          <x:t xml:space="preserve">no</x:t>
        </x:is>
      </x:c>
      <x:c r="J16" s="48" t="inlineStr">
        <x:is>
          <x:t xml:space="preserve">yes</x:t>
        </x:is>
      </x:c>
    </x:row>
    <x:row r="17">
      <x:c r="A17" s="48" t="inlineStr">
        <x:is>
          <x:t xml:space="preserve">Bilal</x:t>
        </x:is>
      </x:c>
      <x:c r="B17" s="79" t="inlineStr">
        <x:is>
          <x:t xml:space="preserve">https://fathom.video/share/c77mT2qiW99oTfyMDvjv5iRVH4e9VTwu</x:t>
        </x:is>
      </x:c>
      <x:c r="C17" s="48" t="b">
        <x:v>1</x:v>
      </x:c>
      <x:c r="D17" s="48" t="b">
        <x:v>0</x:v>
      </x:c>
      <x:c r="E17" s="48" t="inlineStr">
        <x:is>
          <x:t xml:space="preserve">2026-02-26T14:15:00Z</x:t>
        </x:is>
      </x:c>
      <x:c r="F17" s="48" t="inlineStr">
        <x:is>
          <x:t xml:space="preserve">2026-02-26T14:15:28Z</x:t>
        </x:is>
      </x:c>
      <x:c r="G17" s="48" t="inlineStr">
        <x:is>
          <x:t xml:space="preserve">2026-02-26T14:29:17Z</x:t>
        </x:is>
      </x:c>
      <x:c r="I17" s="48" t="inlineStr">
        <x:is>
          <x:t xml:space="preserve">no</x:t>
        </x:is>
      </x:c>
      <x:c r="J17" s="48" t="inlineStr">
        <x:is>
          <x:t xml:space="preserve">yes</x:t>
        </x:is>
      </x:c>
    </x:row>
    <x:row r="18">
      <x:c r="A18" s="48" t="inlineStr">
        <x:is>
          <x:t xml:space="preserve">Impromptu Google Meet Meeting</x:t>
        </x:is>
      </x:c>
      <x:c r="B18" s="79" t="inlineStr">
        <x:is>
          <x:t xml:space="preserve">https://fathom.video/share/EW8fvczbxAkrg-YxwuDJBsVryfxxNExg</x:t>
        </x:is>
      </x:c>
      <x:c r="C18" s="48" t="b">
        <x:v>1</x:v>
      </x:c>
      <x:c r="D18" s="48" t="b">
        <x:v>0</x:v>
      </x:c>
      <x:c r="E18" s="48" t="inlineStr">
        <x:is>
          <x:t xml:space="preserve">2026-02-25T14:46:24Z</x:t>
        </x:is>
      </x:c>
      <x:c r="F18" s="48" t="inlineStr">
        <x:is>
          <x:t xml:space="preserve">2026-02-25T14:47:26Z</x:t>
        </x:is>
      </x:c>
      <x:c r="G18" s="48" t="inlineStr">
        <x:is>
          <x:t xml:space="preserve">2026-02-25T15:23:42Z</x:t>
        </x:is>
      </x:c>
      <x:c r="I18" s="48" t="inlineStr">
        <x:is>
          <x:t xml:space="preserve">no</x:t>
        </x:is>
      </x:c>
      <x:c r="J18" s="48" t="inlineStr">
        <x:is>
          <x:t xml:space="preserve">yes</x:t>
        </x:is>
      </x:c>
    </x:row>
    <x:row r="19">
      <x:c r="A19" s="48" t="inlineStr">
        <x:is>
          <x:t xml:space="preserve">Impromptu Google Meet Meeting</x:t>
        </x:is>
      </x:c>
      <x:c r="B19" s="79" t="inlineStr">
        <x:is>
          <x:t xml:space="preserve">https://fathom.video/share/bzCbmQ-hy4vzRAgxLjt6zpE8B6R_SVLJ</x:t>
        </x:is>
      </x:c>
      <x:c r="C19" s="48" t="b">
        <x:v>1</x:v>
      </x:c>
      <x:c r="D19" s="48" t="b">
        <x:v>0</x:v>
      </x:c>
      <x:c r="E19" s="48" t="inlineStr">
        <x:is>
          <x:t xml:space="preserve">2026-02-24T15:04:29Z</x:t>
        </x:is>
      </x:c>
      <x:c r="F19" s="48" t="inlineStr">
        <x:is>
          <x:t xml:space="preserve">2026-02-24T15:05:03Z</x:t>
        </x:is>
      </x:c>
      <x:c r="G19" s="48" t="inlineStr">
        <x:is>
          <x:t xml:space="preserve">2026-02-24T15:48:34Z</x:t>
        </x:is>
      </x:c>
      <x:c r="I19" s="48" t="inlineStr">
        <x:is>
          <x:t xml:space="preserve">no</x:t>
        </x:is>
      </x:c>
      <x:c r="J19" s="48" t="inlineStr">
        <x:is>
          <x:t xml:space="preserve">yes</x:t>
        </x:is>
      </x:c>
    </x:row>
    <x:row r="20">
      <x:c r="A20" s="48" t="inlineStr">
        <x:is>
          <x:t xml:space="preserve">Impromptu Google Meet Meeting</x:t>
        </x:is>
      </x:c>
      <x:c r="B20" s="79" t="inlineStr">
        <x:is>
          <x:t xml:space="preserve">https://fathom.video/share/x7xhNMktULD8QiQXtYzi5jS1tby43sDY</x:t>
        </x:is>
      </x:c>
      <x:c r="C20" s="48" t="b">
        <x:v>1</x:v>
      </x:c>
      <x:c r="D20" s="48" t="b">
        <x:v>0</x:v>
      </x:c>
      <x:c r="E20" s="48" t="inlineStr">
        <x:is>
          <x:t xml:space="preserve">2026-02-23T17:16:51Z</x:t>
        </x:is>
      </x:c>
      <x:c r="F20" s="48" t="inlineStr">
        <x:is>
          <x:t xml:space="preserve">2026-02-23T17:17:41Z</x:t>
        </x:is>
      </x:c>
      <x:c r="G20" s="48" t="inlineStr">
        <x:is>
          <x:t xml:space="preserve">2026-02-23T18:09:50Z</x:t>
        </x:is>
      </x:c>
      <x:c r="I20" s="48" t="inlineStr">
        <x:is>
          <x:t xml:space="preserve">no</x:t>
        </x:is>
      </x:c>
      <x:c r="J20" s="48" t="inlineStr">
        <x:is>
          <x:t xml:space="preserve">yes</x:t>
        </x:is>
      </x:c>
    </x:row>
    <x:row r="21">
      <x:c r="A21" s="48" t="inlineStr">
        <x:is>
          <x:t xml:space="preserve">Impromptu Google Meet Meeting</x:t>
        </x:is>
      </x:c>
      <x:c r="B21" s="79" t="inlineStr">
        <x:is>
          <x:t xml:space="preserve">https://fathom.video/share/XK-4EjvuYzfpkEXoAweZhhLyDz8ARoH_</x:t>
        </x:is>
      </x:c>
      <x:c r="C21" s="48" t="b">
        <x:v>1</x:v>
      </x:c>
      <x:c r="D21" s="48" t="b">
        <x:v>0</x:v>
      </x:c>
      <x:c r="E21" s="48" t="inlineStr">
        <x:is>
          <x:t xml:space="preserve">2026-02-23T15:34:20Z</x:t>
        </x:is>
      </x:c>
      <x:c r="F21" s="48" t="inlineStr">
        <x:is>
          <x:t xml:space="preserve">2026-02-23T15:34:49Z</x:t>
        </x:is>
      </x:c>
      <x:c r="G21" s="48" t="inlineStr">
        <x:is>
          <x:t xml:space="preserve">2026-02-23T15:54:08Z</x:t>
        </x:is>
      </x:c>
      <x:c r="I21" s="48" t="inlineStr">
        <x:is>
          <x:t xml:space="preserve">no</x:t>
        </x:is>
      </x:c>
      <x:c r="J21" s="48" t="inlineStr">
        <x:is>
          <x:t xml:space="preserve">yes</x:t>
        </x:is>
      </x:c>
    </x:row>
    <x:row r="22">
      <x:c r="A22" s="48" t="inlineStr">
        <x:is>
          <x:t xml:space="preserve">Setter Meeting</x:t>
        </x:is>
      </x:c>
      <x:c r="B22" s="79" t="inlineStr">
        <x:is>
          <x:t xml:space="preserve">https://fathom.video/share/MnaJJejeBwZzryp48AvwgB8NSwE7dGZy</x:t>
        </x:is>
      </x:c>
      <x:c r="C22" s="48" t="b">
        <x:v>1</x:v>
      </x:c>
      <x:c r="D22" s="48" t="b">
        <x:v>0</x:v>
      </x:c>
      <x:c r="E22" s="48" t="inlineStr">
        <x:is>
          <x:t xml:space="preserve">2026-02-23T15:00:00Z</x:t>
        </x:is>
      </x:c>
      <x:c r="F22" s="48" t="inlineStr">
        <x:is>
          <x:t xml:space="preserve">2026-02-23T15:00:42Z</x:t>
        </x:is>
      </x:c>
      <x:c r="G22" s="48" t="inlineStr">
        <x:is>
          <x:t xml:space="preserve">2026-02-23T15:35:09Z</x:t>
        </x:is>
      </x:c>
      <x:c r="I22" s="48" t="inlineStr">
        <x:is>
          <x:t xml:space="preserve">no</x:t>
        </x:is>
      </x:c>
      <x:c r="J22" s="48" t="inlineStr">
        <x:is>
          <x:t xml:space="preserve">yes</x:t>
        </x:is>
      </x:c>
    </x:row>
    <x:row r="23">
      <x:c r="A23" s="48" t="inlineStr">
        <x:is>
          <x:t xml:space="preserve">Impromptu Google Meet Meeting</x:t>
        </x:is>
      </x:c>
      <x:c r="B23" s="79" t="inlineStr">
        <x:is>
          <x:t xml:space="preserve">https://fathom.video/share/xxQRjyEX-TT1cxKzFxUKwWA3zbFRnHNo</x:t>
        </x:is>
      </x:c>
      <x:c r="C23" s="48" t="b">
        <x:v>1</x:v>
      </x:c>
      <x:c r="D23" s="48" t="b">
        <x:v>0</x:v>
      </x:c>
      <x:c r="E23" s="48" t="inlineStr">
        <x:is>
          <x:t xml:space="preserve">2026-02-23T14:42:13Z</x:t>
        </x:is>
      </x:c>
      <x:c r="F23" s="48" t="inlineStr">
        <x:is>
          <x:t xml:space="preserve">2026-02-23T14:44:17Z</x:t>
        </x:is>
      </x:c>
      <x:c r="G23" s="48" t="inlineStr">
        <x:is>
          <x:t xml:space="preserve">2026-02-23T14:52:19Z</x:t>
        </x:is>
      </x:c>
      <x:c r="I23" s="48" t="inlineStr">
        <x:is>
          <x:t xml:space="preserve">no</x:t>
        </x:is>
      </x:c>
      <x:c r="J23" s="48" t="inlineStr">
        <x:is>
          <x:t xml:space="preserve">yes</x:t>
        </x:is>
      </x:c>
    </x:row>
    <x:row r="24">
      <x:c r="A24" s="48" t="inlineStr">
        <x:is>
          <x:t xml:space="preserve">Bilal</x:t>
        </x:is>
      </x:c>
      <x:c r="B24" s="79" t="inlineStr">
        <x:is>
          <x:t xml:space="preserve">https://fathom.video/share/EHuL2t5zfVAXGhGzeMzrygGys_yvGMZH</x:t>
        </x:is>
      </x:c>
      <x:c r="C24" s="48" t="b">
        <x:v>1</x:v>
      </x:c>
      <x:c r="D24" s="48" t="b">
        <x:v>0</x:v>
      </x:c>
      <x:c r="E24" s="48" t="inlineStr">
        <x:is>
          <x:t xml:space="preserve">2026-02-20T14:15:00Z</x:t>
        </x:is>
      </x:c>
      <x:c r="F24" s="48" t="inlineStr">
        <x:is>
          <x:t xml:space="preserve">2026-02-20T14:17:27Z</x:t>
        </x:is>
      </x:c>
      <x:c r="G24" s="48" t="inlineStr">
        <x:is>
          <x:t xml:space="preserve">2026-02-20T14:28:55Z</x:t>
        </x:is>
      </x:c>
      <x:c r="I24" s="48" t="inlineStr">
        <x:is>
          <x:t xml:space="preserve">no</x:t>
        </x:is>
      </x:c>
      <x:c r="J24" s="48" t="inlineStr">
        <x:is>
          <x:t xml:space="preserve">yes</x:t>
        </x:is>
      </x:c>
    </x:row>
    <x:row r="25">
      <x:c r="A25" s="48" t="inlineStr">
        <x:is>
          <x:t xml:space="preserve">Davi + Max Daily Meeting</x:t>
        </x:is>
      </x:c>
      <x:c r="B25" s="79" t="inlineStr">
        <x:is>
          <x:t xml:space="preserve">https://fathom.video/share/sBH_x8Kf_QKFVjypkxdGou_tgH6LM8Ja</x:t>
        </x:is>
      </x:c>
      <x:c r="C25" s="48" t="b">
        <x:v>1</x:v>
      </x:c>
      <x:c r="D25" s="48" t="b">
        <x:v>0</x:v>
      </x:c>
      <x:c r="E25" s="48" t="inlineStr">
        <x:is>
          <x:t xml:space="preserve">2026-02-20T14:00:00Z</x:t>
        </x:is>
      </x:c>
      <x:c r="F25" s="48" t="inlineStr">
        <x:is>
          <x:t xml:space="preserve">2026-02-20T14:00:31Z</x:t>
        </x:is>
      </x:c>
      <x:c r="G25" s="48" t="inlineStr">
        <x:is>
          <x:t xml:space="preserve">2026-02-20T14:12:12Z</x:t>
        </x:is>
      </x:c>
      <x:c r="I25" s="48" t="inlineStr">
        <x:is>
          <x:t xml:space="preserve">no</x:t>
        </x:is>
      </x:c>
      <x:c r="J25" s="48" t="inlineStr">
        <x:is>
          <x:t xml:space="preserve">yes</x:t>
        </x:is>
      </x:c>
    </x:row>
    <x:row r="26">
      <x:c r="A26" s="48" t="inlineStr">
        <x:is>
          <x:t xml:space="preserve">Yajaira Joy Segaya</x:t>
        </x:is>
      </x:c>
      <x:c r="B26" s="79" t="inlineStr">
        <x:is>
          <x:t xml:space="preserve">https://fathom.video/share/F42yJmViUy3s1ZEv7_7y83dJcU7oUxpb</x:t>
        </x:is>
      </x:c>
      <x:c r="C26" s="48" t="b">
        <x:v>1</x:v>
      </x:c>
      <x:c r="D26" s="48" t="b">
        <x:v>0</x:v>
      </x:c>
      <x:c r="E26" s="48" t="inlineStr">
        <x:is>
          <x:t xml:space="preserve">2026-02-20T13:50:00Z</x:t>
        </x:is>
      </x:c>
      <x:c r="F26" s="48" t="inlineStr">
        <x:is>
          <x:t xml:space="preserve">2026-02-20T13:52:49Z</x:t>
        </x:is>
      </x:c>
      <x:c r="G26" s="48" t="inlineStr">
        <x:is>
          <x:t xml:space="preserve">2026-02-20T13:57:52Z</x:t>
        </x:is>
      </x:c>
      <x:c r="I26" s="48" t="inlineStr">
        <x:is>
          <x:t xml:space="preserve">no</x:t>
        </x:is>
      </x:c>
      <x:c r="J26" s="48" t="inlineStr">
        <x:is>
          <x:t xml:space="preserve">yes</x:t>
        </x:is>
      </x:c>
    </x:row>
    <x:row r="27">
      <x:c r="A27" s="48" t="inlineStr">
        <x:is>
          <x:t xml:space="preserve"> Angie Rose Joanne Juaneza</x:t>
        </x:is>
      </x:c>
      <x:c r="B27" s="79" t="inlineStr">
        <x:is>
          <x:t xml:space="preserve">https://fathom.video/share/71x5sK6esoWRVoUcS6k93aF6sShur6ku</x:t>
        </x:is>
      </x:c>
      <x:c r="C27" s="48" t="b">
        <x:v>1</x:v>
      </x:c>
      <x:c r="D27" s="48" t="b">
        <x:v>0</x:v>
      </x:c>
      <x:c r="E27" s="48" t="inlineStr">
        <x:is>
          <x:t xml:space="preserve">2026-02-20T13:40:00Z</x:t>
        </x:is>
      </x:c>
      <x:c r="F27" s="48" t="inlineStr">
        <x:is>
          <x:t xml:space="preserve">2026-02-20T13:40:48Z</x:t>
        </x:is>
      </x:c>
      <x:c r="G27" s="48" t="inlineStr">
        <x:is>
          <x:t xml:space="preserve">2026-02-20T13:45:37Z</x:t>
        </x:is>
      </x:c>
      <x:c r="I27" s="48" t="inlineStr">
        <x:is>
          <x:t xml:space="preserve">no</x:t>
        </x:is>
      </x:c>
      <x:c r="J27" s="48" t="inlineStr">
        <x:is>
          <x:t xml:space="preserve">yes</x:t>
        </x:is>
      </x:c>
    </x:row>
    <x:row r="28">
      <x:c r="A28" s="48" t="inlineStr">
        <x:is>
          <x:t xml:space="preserve"> Desiree Mae Unana Unana</x:t>
        </x:is>
      </x:c>
      <x:c r="B28" s="79" t="inlineStr">
        <x:is>
          <x:t xml:space="preserve">https://fathom.video/share/Reir5h8qCkDhJG8Sf5xq3MxFE3qxZqsP</x:t>
        </x:is>
      </x:c>
      <x:c r="C28" s="48" t="b">
        <x:v>1</x:v>
      </x:c>
      <x:c r="D28" s="48" t="b">
        <x:v>0</x:v>
      </x:c>
      <x:c r="E28" s="48" t="inlineStr">
        <x:is>
          <x:t xml:space="preserve">2026-02-20T13:10:00Z</x:t>
        </x:is>
      </x:c>
      <x:c r="F28" s="48" t="inlineStr">
        <x:is>
          <x:t xml:space="preserve">2026-02-20T13:10:43Z</x:t>
        </x:is>
      </x:c>
      <x:c r="G28" s="48" t="inlineStr">
        <x:is>
          <x:t xml:space="preserve">2026-02-20T13:20:57Z</x:t>
        </x:is>
      </x:c>
      <x:c r="I28" s="48" t="inlineStr">
        <x:is>
          <x:t xml:space="preserve">no</x:t>
        </x:is>
      </x:c>
      <x:c r="J28" s="48" t="inlineStr">
        <x:is>
          <x:t xml:space="preserve">yes</x:t>
        </x:is>
      </x:c>
    </x:row>
    <x:row r="29">
      <x:c r="A29" s="48" t="inlineStr">
        <x:is>
          <x:t xml:space="preserve">Impromptu Google Meet Meeting</x:t>
        </x:is>
      </x:c>
      <x:c r="B29" s="79" t="inlineStr">
        <x:is>
          <x:t xml:space="preserve">https://fathom.video/share/91DUoHvq3y2Vrz2J69TsxBBPtUpzeRU3</x:t>
        </x:is>
      </x:c>
      <x:c r="C29" s="48" t="b">
        <x:v>0</x:v>
      </x:c>
      <x:c r="D29" s="48" t="b">
        <x:v>1</x:v>
      </x:c>
      <x:c r="E29" s="48" t="inlineStr">
        <x:is>
          <x:t xml:space="preserve">2026-02-19T22:57:45Z</x:t>
        </x:is>
      </x:c>
      <x:c r="F29" s="48" t="inlineStr">
        <x:is>
          <x:t xml:space="preserve">2026-02-19T23:00:05Z</x:t>
        </x:is>
      </x:c>
      <x:c r="G29" s="48" t="inlineStr">
        <x:is>
          <x:t xml:space="preserve">2026-02-19T23:48:08Z</x:t>
        </x:is>
      </x:c>
      <x:c r="I29" s="48" t="inlineStr">
        <x:is>
          <x:t xml:space="preserve">no</x:t>
        </x:is>
      </x:c>
      <x:c r="J29" s="48" t="inlineStr">
        <x:is>
          <x:t xml:space="preserve">yes</x:t>
        </x:is>
      </x:c>
      <x:c r="M29" t="inlineStr">
        <x:is>
          <x:t xml:space="preserve">Duplicate with Ken / Four Seasons Design Build. Closing call already represented, so do not add another booked call row.</x:t>
        </x:is>
      </x:c>
    </x:row>
    <x:row r="30">
      <x:c r="A30" s="48" t="inlineStr">
        <x:is>
          <x:t xml:space="preserve"> Alan Corona</x:t>
        </x:is>
      </x:c>
      <x:c r="B30" s="79" t="inlineStr">
        <x:is>
          <x:t xml:space="preserve">https://fathom.video/share/euaUsziF-ogz-aqZsUNSro26o_Y1dTXF</x:t>
        </x:is>
      </x:c>
      <x:c r="C30" s="48" t="b">
        <x:v>1</x:v>
      </x:c>
      <x:c r="D30" s="48" t="b">
        <x:v>0</x:v>
      </x:c>
      <x:c r="E30" s="48" t="inlineStr">
        <x:is>
          <x:t xml:space="preserve">2026-02-19T18:00:00Z</x:t>
        </x:is>
      </x:c>
      <x:c r="F30" s="48" t="inlineStr">
        <x:is>
          <x:t xml:space="preserve">2026-02-19T18:04:11Z</x:t>
        </x:is>
      </x:c>
      <x:c r="G30" s="48" t="inlineStr">
        <x:is>
          <x:t xml:space="preserve">2026-02-19T18:14:12Z</x:t>
        </x:is>
      </x:c>
      <x:c r="I30" s="48" t="inlineStr">
        <x:is>
          <x:t xml:space="preserve">no</x:t>
        </x:is>
      </x:c>
      <x:c r="J30" s="48" t="inlineStr">
        <x:is>
          <x:t xml:space="preserve">yes</x:t>
        </x:is>
      </x:c>
    </x:row>
    <x:row r="31">
      <x:c r="A31" s="48" t="inlineStr">
        <x:is>
          <x:t xml:space="preserve">Impromptu Google Meet Meeting</x:t>
        </x:is>
      </x:c>
      <x:c r="B31" s="79" t="inlineStr">
        <x:is>
          <x:t xml:space="preserve">https://fathom.video/share/GB48fajoRhLsryG_mH3pMvwahf1fDzV_</x:t>
        </x:is>
      </x:c>
      <x:c r="C31" s="48" t="b">
        <x:v>0</x:v>
      </x:c>
      <x:c r="D31" s="48" t="b">
        <x:v>0</x:v>
      </x:c>
      <x:c r="E31" s="48" t="inlineStr">
        <x:is>
          <x:t xml:space="preserve">2026-02-18T21:14:26Z</x:t>
        </x:is>
      </x:c>
      <x:c r="F31" s="48" t="inlineStr">
        <x:is>
          <x:t xml:space="preserve">2026-02-18T21:23:33Z</x:t>
        </x:is>
      </x:c>
      <x:c r="G31" s="48" t="inlineStr">
        <x:is>
          <x:t xml:space="preserve">2026-02-18T21:50:14Z</x:t>
        </x:is>
      </x:c>
      <x:c r="I31" s="48" t="inlineStr">
        <x:is>
          <x:t xml:space="preserve">no</x:t>
        </x:is>
      </x:c>
      <x:c r="J31" s="48" t="inlineStr">
        <x:is>
          <x:t xml:space="preserve">yes</x:t>
        </x:is>
      </x:c>
    </x:row>
    <x:row r="32">
      <x:c r="A32" s="48" t="inlineStr">
        <x:is>
          <x:t xml:space="preserve">Bilal</x:t>
        </x:is>
      </x:c>
      <x:c r="B32" s="79" t="inlineStr">
        <x:is>
          <x:t xml:space="preserve">https://fathom.video/share/os2ooSvsowHf5nRcmT7Qb7TpcVtws46J</x:t>
        </x:is>
      </x:c>
      <x:c r="C32" s="48" t="b">
        <x:v>1</x:v>
      </x:c>
      <x:c r="D32" s="48" t="b">
        <x:v>0</x:v>
      </x:c>
      <x:c r="E32" s="48" t="inlineStr">
        <x:is>
          <x:t xml:space="preserve">2026-02-18T14:15:00Z</x:t>
        </x:is>
      </x:c>
      <x:c r="F32" s="48" t="inlineStr">
        <x:is>
          <x:t xml:space="preserve">2026-02-18T14:15:32Z</x:t>
        </x:is>
      </x:c>
      <x:c r="G32" s="48" t="inlineStr">
        <x:is>
          <x:t xml:space="preserve">2026-02-18T14:23:16Z</x:t>
        </x:is>
      </x:c>
      <x:c r="I32" s="48" t="inlineStr">
        <x:is>
          <x:t xml:space="preserve">no</x:t>
        </x:is>
      </x:c>
      <x:c r="J32" s="48" t="inlineStr">
        <x:is>
          <x:t xml:space="preserve">yes</x:t>
        </x:is>
      </x:c>
    </x:row>
    <x:row r="33">
      <x:c r="A33" s="48" t="inlineStr">
        <x:is>
          <x:t xml:space="preserve">Impromptu Google Meet Meeting</x:t>
        </x:is>
      </x:c>
      <x:c r="B33" s="79" t="inlineStr">
        <x:is>
          <x:t xml:space="preserve">https://fathom.video/share/WwC7w7_bxu_TdHy2cLLTQs7suE-zTs_7</x:t>
        </x:is>
      </x:c>
      <x:c r="C33" s="48" t="b">
        <x:v>1</x:v>
      </x:c>
      <x:c r="D33" s="48" t="b">
        <x:v>0</x:v>
      </x:c>
      <x:c r="E33" s="48" t="inlineStr">
        <x:is>
          <x:t xml:space="preserve">2026-02-17T16:03:03Z</x:t>
        </x:is>
      </x:c>
      <x:c r="F33" s="48" t="inlineStr">
        <x:is>
          <x:t xml:space="preserve">2026-02-17T16:04:18Z</x:t>
        </x:is>
      </x:c>
      <x:c r="G33" s="48" t="inlineStr">
        <x:is>
          <x:t xml:space="preserve">2026-02-17T16:30:53Z</x:t>
        </x:is>
      </x:c>
      <x:c r="I33" s="48" t="inlineStr">
        <x:is>
          <x:t xml:space="preserve">no</x:t>
        </x:is>
      </x:c>
      <x:c r="J33" s="48" t="inlineStr">
        <x:is>
          <x:t xml:space="preserve">yes</x:t>
        </x:is>
      </x:c>
    </x:row>
    <x:row r="34">
      <x:c r="A34" s="48" t="inlineStr">
        <x:is>
          <x:t xml:space="preserve">Evolute Solutions Onboarding | Michael Aiello</x:t>
        </x:is>
      </x:c>
      <x:c r="B34" s="79" t="inlineStr">
        <x:is>
          <x:t xml:space="preserve">https://fathom.video/share/3bxsyS9d5-k3MNAsRb8nR4x3x3BvQyps</x:t>
        </x:is>
      </x:c>
      <x:c r="C34" s="48" t="b">
        <x:v>1</x:v>
      </x:c>
      <x:c r="D34" s="48" t="b">
        <x:v>0</x:v>
      </x:c>
      <x:c r="E34" s="48" t="inlineStr">
        <x:is>
          <x:t xml:space="preserve">2026-02-16T16:00:00Z</x:t>
        </x:is>
      </x:c>
      <x:c r="F34" s="48" t="inlineStr">
        <x:is>
          <x:t xml:space="preserve">2026-02-16T16:01:32Z</x:t>
        </x:is>
      </x:c>
      <x:c r="G34" s="48" t="inlineStr">
        <x:is>
          <x:t xml:space="preserve">2026-02-16T16:12:16Z</x:t>
        </x:is>
      </x:c>
      <x:c r="I34" s="48" t="inlineStr">
        <x:is>
          <x:t xml:space="preserve">no</x:t>
        </x:is>
      </x:c>
      <x:c r="J34" s="48" t="inlineStr">
        <x:is>
          <x:t xml:space="preserve">yes</x:t>
        </x:is>
      </x:c>
    </x:row>
    <x:row r="35">
      <x:c r="A35" s="48" t="inlineStr">
        <x:is>
          <x:t xml:space="preserve">Bilal</x:t>
        </x:is>
      </x:c>
      <x:c r="B35" s="79" t="inlineStr">
        <x:is>
          <x:t xml:space="preserve">https://fathom.video/share/tpz72oBvnUitwatBT74qJG4qexao-jsu</x:t>
        </x:is>
      </x:c>
      <x:c r="C35" s="48" t="b">
        <x:v>1</x:v>
      </x:c>
      <x:c r="D35" s="48" t="b">
        <x:v>0</x:v>
      </x:c>
      <x:c r="E35" s="48" t="inlineStr">
        <x:is>
          <x:t xml:space="preserve">2026-02-16T14:15:00Z</x:t>
        </x:is>
      </x:c>
      <x:c r="F35" s="48" t="inlineStr">
        <x:is>
          <x:t xml:space="preserve">2026-02-16T14:16:54Z</x:t>
        </x:is>
      </x:c>
      <x:c r="G35" s="48" t="inlineStr">
        <x:is>
          <x:t xml:space="preserve">2026-02-16T14:39:02Z</x:t>
        </x:is>
      </x:c>
      <x:c r="I35" s="48" t="inlineStr">
        <x:is>
          <x:t xml:space="preserve">no</x:t>
        </x:is>
      </x:c>
      <x:c r="J35" s="48" t="inlineStr">
        <x:is>
          <x:t xml:space="preserve">yes</x:t>
        </x:is>
      </x:c>
    </x:row>
    <x:row r="36">
      <x:c r="A36" s="48" t="inlineStr">
        <x:is>
          <x:t xml:space="preserve">Impromptu Google Meet Meeting</x:t>
        </x:is>
      </x:c>
      <x:c r="B36" s="79" t="inlineStr">
        <x:is>
          <x:t xml:space="preserve">https://fathom.video/share/nDKoKVBo66vhE3-iXkEfC7iQB3sBaiNW</x:t>
        </x:is>
      </x:c>
      <x:c r="C36" s="48" t="b">
        <x:v>1</x:v>
      </x:c>
      <x:c r="D36" s="48" t="b">
        <x:v>0</x:v>
      </x:c>
      <x:c r="E36" s="48" t="inlineStr">
        <x:is>
          <x:t xml:space="preserve">2026-02-14T21:55:50Z</x:t>
        </x:is>
      </x:c>
      <x:c r="F36" s="48" t="inlineStr">
        <x:is>
          <x:t xml:space="preserve">2026-02-14T21:59:55Z</x:t>
        </x:is>
      </x:c>
      <x:c r="G36" s="48" t="inlineStr">
        <x:is>
          <x:t xml:space="preserve">2026-02-14T22:43:22Z</x:t>
        </x:is>
      </x:c>
      <x:c r="I36" s="48" t="inlineStr">
        <x:is>
          <x:t xml:space="preserve">no</x:t>
        </x:is>
      </x:c>
      <x:c r="J36" s="48" t="inlineStr">
        <x:is>
          <x:t xml:space="preserve">yes</x:t>
        </x:is>
      </x:c>
      <x:c r="M36" t="inlineStr">
        <x:is>
          <x:t xml:space="preserve">Check-in call, not a sales call. Do not add to All Booked Calls Data.</x:t>
        </x:is>
      </x:c>
    </x:row>
    <x:row r="37">
      <x:c r="A37" s="48" t="inlineStr">
        <x:is>
          <x:t xml:space="preserve">Impromptu Google Meet Meeting</x:t>
        </x:is>
      </x:c>
      <x:c r="B37" s="79" t="inlineStr">
        <x:is>
          <x:t xml:space="preserve">https://fathom.video/share/eapMvqd7sH9xnxfeL7hWsgShpK41WkPk</x:t>
        </x:is>
      </x:c>
      <x:c r="C37" s="48" t="b">
        <x:v>1</x:v>
      </x:c>
      <x:c r="D37" s="48" t="b">
        <x:v>0</x:v>
      </x:c>
      <x:c r="E37" s="48" t="inlineStr">
        <x:is>
          <x:t xml:space="preserve">2026-02-13T18:41:11Z</x:t>
        </x:is>
      </x:c>
      <x:c r="F37" s="48" t="inlineStr">
        <x:is>
          <x:t xml:space="preserve">2026-02-13T18:42:37Z</x:t>
        </x:is>
      </x:c>
      <x:c r="G37" s="48" t="inlineStr">
        <x:is>
          <x:t xml:space="preserve">2026-02-13T18:49:41Z</x:t>
        </x:is>
      </x:c>
      <x:c r="I37" s="48" t="inlineStr">
        <x:is>
          <x:t xml:space="preserve">no</x:t>
        </x:is>
      </x:c>
      <x:c r="J37" s="48" t="inlineStr">
        <x:is>
          <x:t xml:space="preserve">yes</x:t>
        </x:is>
      </x:c>
    </x:row>
    <x:row r="38">
      <x:c r="A38" s="48" t="inlineStr">
        <x:is>
          <x:t xml:space="preserve">Setter Meeting</x:t>
        </x:is>
      </x:c>
      <x:c r="B38" s="79" t="inlineStr">
        <x:is>
          <x:t xml:space="preserve">https://fathom.video/share/eycbVsDeepUzD5sZGhRVkKvNqEBemWtA</x:t>
        </x:is>
      </x:c>
      <x:c r="C38" s="48" t="b">
        <x:v>1</x:v>
      </x:c>
      <x:c r="D38" s="48" t="b">
        <x:v>0</x:v>
      </x:c>
      <x:c r="E38" s="48" t="inlineStr">
        <x:is>
          <x:t xml:space="preserve">2026-02-13T15:00:00Z</x:t>
        </x:is>
      </x:c>
      <x:c r="F38" s="48" t="inlineStr">
        <x:is>
          <x:t xml:space="preserve">2026-02-13T15:01:09Z</x:t>
        </x:is>
      </x:c>
      <x:c r="G38" s="48" t="inlineStr">
        <x:is>
          <x:t xml:space="preserve">2026-02-13T15:25:15Z</x:t>
        </x:is>
      </x:c>
      <x:c r="I38" s="48" t="inlineStr">
        <x:is>
          <x:t xml:space="preserve">no</x:t>
        </x:is>
      </x:c>
      <x:c r="J38" s="48" t="inlineStr">
        <x:is>
          <x:t xml:space="preserve">yes</x:t>
        </x:is>
      </x:c>
    </x:row>
    <x:row r="39">
      <x:c r="A39" s="48" t="inlineStr">
        <x:is>
          <x:t xml:space="preserve">Bilal</x:t>
        </x:is>
      </x:c>
      <x:c r="B39" s="79" t="inlineStr">
        <x:is>
          <x:t xml:space="preserve">https://fathom.video/share/Z4Nrxyw7qymggFzBYK5hSRSn7PGv7YqF</x:t>
        </x:is>
      </x:c>
      <x:c r="C39" s="48" t="b">
        <x:v>1</x:v>
      </x:c>
      <x:c r="D39" s="48" t="b">
        <x:v>0</x:v>
      </x:c>
      <x:c r="E39" s="48" t="inlineStr">
        <x:is>
          <x:t xml:space="preserve">2026-02-13T14:15:00Z</x:t>
        </x:is>
      </x:c>
      <x:c r="F39" s="48" t="inlineStr">
        <x:is>
          <x:t xml:space="preserve">2026-02-13T14:18:17Z</x:t>
        </x:is>
      </x:c>
      <x:c r="G39" s="48" t="inlineStr">
        <x:is>
          <x:t xml:space="preserve">2026-02-13T14:35:32Z</x:t>
        </x:is>
      </x:c>
      <x:c r="I39" s="48" t="inlineStr">
        <x:is>
          <x:t xml:space="preserve">no</x:t>
        </x:is>
      </x:c>
      <x:c r="J39" s="48" t="inlineStr">
        <x:is>
          <x:t xml:space="preserve">yes</x:t>
        </x:is>
      </x:c>
    </x:row>
    <x:row r="40">
      <x:c r="A40" s="48" t="inlineStr">
        <x:is>
          <x:t xml:space="preserve">Davi + Max Daily Meeting</x:t>
        </x:is>
      </x:c>
      <x:c r="B40" s="79" t="inlineStr">
        <x:is>
          <x:t xml:space="preserve">https://fathom.video/share/qJrsr7-u8WXxSp_MUr9fCyECzExJkfVs</x:t>
        </x:is>
      </x:c>
      <x:c r="C40" s="48" t="b">
        <x:v>1</x:v>
      </x:c>
      <x:c r="D40" s="48" t="b">
        <x:v>0</x:v>
      </x:c>
      <x:c r="E40" s="48" t="inlineStr">
        <x:is>
          <x:t xml:space="preserve">2026-02-13T14:00:00Z</x:t>
        </x:is>
      </x:c>
      <x:c r="F40" s="48" t="inlineStr">
        <x:is>
          <x:t xml:space="preserve">2026-02-13T14:09:22Z</x:t>
        </x:is>
      </x:c>
      <x:c r="G40" s="48" t="inlineStr">
        <x:is>
          <x:t xml:space="preserve">2026-02-13T14:14:11Z</x:t>
        </x:is>
      </x:c>
      <x:c r="I40" s="48" t="inlineStr">
        <x:is>
          <x:t xml:space="preserve">no</x:t>
        </x:is>
      </x:c>
      <x:c r="J40" s="48" t="inlineStr">
        <x:is>
          <x:t xml:space="preserve">yes</x:t>
        </x:is>
      </x:c>
    </x:row>
    <x:row r="41">
      <x:c r="A41" s="48" t="inlineStr">
        <x:is>
          <x:t xml:space="preserve">Impromptu Google Meet Meeting</x:t>
        </x:is>
      </x:c>
      <x:c r="B41" s="79" t="inlineStr">
        <x:is>
          <x:t xml:space="preserve">https://fathom.video/share/zLo6B2qYVzK9wayyaovt2FvvDdVUdwUP</x:t>
        </x:is>
      </x:c>
      <x:c r="C41" s="48" t="b">
        <x:v>1</x:v>
      </x:c>
      <x:c r="D41" s="48" t="b">
        <x:v>0</x:v>
      </x:c>
      <x:c r="E41" s="48" t="inlineStr">
        <x:is>
          <x:t xml:space="preserve">2026-02-12T23:46:17Z</x:t>
        </x:is>
      </x:c>
      <x:c r="F41" s="48" t="inlineStr">
        <x:is>
          <x:t xml:space="preserve">2026-02-12T23:47:13Z</x:t>
        </x:is>
      </x:c>
      <x:c r="G41" s="48" t="inlineStr">
        <x:is>
          <x:t xml:space="preserve">2026-02-13T00:04:00Z</x:t>
        </x:is>
      </x:c>
      <x:c r="I41" s="48" t="inlineStr">
        <x:is>
          <x:t xml:space="preserve">no</x:t>
        </x:is>
      </x:c>
      <x:c r="J41" s="48" t="inlineStr">
        <x:is>
          <x:t xml:space="preserve">yes</x:t>
        </x:is>
      </x:c>
    </x:row>
    <x:row r="42">
      <x:c r="A42" s="48" t="inlineStr">
        <x:is>
          <x:t xml:space="preserve">Bilal</x:t>
        </x:is>
      </x:c>
      <x:c r="B42" s="79" t="inlineStr">
        <x:is>
          <x:t xml:space="preserve">https://fathom.video/share/BraKHx-HTs-_ncdrz1DJGVrR_9hDdTmj</x:t>
        </x:is>
      </x:c>
      <x:c r="C42" s="48" t="b">
        <x:v>1</x:v>
      </x:c>
      <x:c r="D42" s="48" t="b">
        <x:v>0</x:v>
      </x:c>
      <x:c r="E42" s="48" t="inlineStr">
        <x:is>
          <x:t xml:space="preserve">2026-02-12T14:15:00Z</x:t>
        </x:is>
      </x:c>
      <x:c r="F42" s="48" t="inlineStr">
        <x:is>
          <x:t xml:space="preserve">2026-02-12T14:02:44Z</x:t>
        </x:is>
      </x:c>
      <x:c r="G42" s="48" t="inlineStr">
        <x:is>
          <x:t xml:space="preserve">2026-02-12T14:21:54Z</x:t>
        </x:is>
      </x:c>
      <x:c r="I42" s="48" t="inlineStr">
        <x:is>
          <x:t xml:space="preserve">no</x:t>
        </x:is>
      </x:c>
      <x:c r="J42" s="48" t="inlineStr">
        <x:is>
          <x:t xml:space="preserve">yes</x:t>
        </x:is>
      </x:c>
    </x:row>
    <x:row r="43">
      <x:c r="A43" s="48" t="inlineStr">
        <x:is>
          <x:t xml:space="preserve">Impromptu Google Meet Meeting</x:t>
        </x:is>
      </x:c>
      <x:c r="B43" s="79" t="inlineStr">
        <x:is>
          <x:t xml:space="preserve">https://fathom.video/share/ss_weEvybmyg9_xpY1XYDLmC2HqEmHjZ</x:t>
        </x:is>
      </x:c>
      <x:c r="C43" s="48" t="b">
        <x:v>1</x:v>
      </x:c>
      <x:c r="D43" s="48" t="b">
        <x:v>0</x:v>
      </x:c>
      <x:c r="E43" s="48" t="inlineStr">
        <x:is>
          <x:t xml:space="preserve">2026-02-10T17:12:23Z</x:t>
        </x:is>
      </x:c>
      <x:c r="F43" s="48" t="inlineStr">
        <x:is>
          <x:t xml:space="preserve">2026-02-10T17:16:33Z</x:t>
        </x:is>
      </x:c>
      <x:c r="G43" s="48" t="inlineStr">
        <x:is>
          <x:t xml:space="preserve">2026-02-10T17:37:47Z</x:t>
        </x:is>
      </x:c>
      <x:c r="I43" s="48" t="inlineStr">
        <x:is>
          <x:t xml:space="preserve">no</x:t>
        </x:is>
      </x:c>
      <x:c r="J43" s="48" t="inlineStr">
        <x:is>
          <x:t xml:space="preserve">yes</x:t>
        </x:is>
      </x:c>
    </x:row>
    <x:row r="44">
      <x:c r="A44" s="48" t="inlineStr">
        <x:is>
          <x:t xml:space="preserve">Impromptu Google Meet Meeting</x:t>
        </x:is>
      </x:c>
      <x:c r="B44" s="79" t="inlineStr">
        <x:is>
          <x:t xml:space="preserve">https://fathom.video/share/1qVyfUyc73uRFgU_ZjBHK7UDE_uy8sLW</x:t>
        </x:is>
      </x:c>
      <x:c r="C44" s="48" t="b">
        <x:v>1</x:v>
      </x:c>
      <x:c r="D44" s="48" t="b">
        <x:v>0</x:v>
      </x:c>
      <x:c r="E44" s="48" t="inlineStr">
        <x:is>
          <x:t xml:space="preserve">2026-02-10T14:42:45Z</x:t>
        </x:is>
      </x:c>
      <x:c r="F44" s="48" t="inlineStr">
        <x:is>
          <x:t xml:space="preserve">2026-02-10T14:43:42Z</x:t>
        </x:is>
      </x:c>
      <x:c r="G44" s="48" t="inlineStr">
        <x:is>
          <x:t xml:space="preserve">2026-02-10T15:25:16Z</x:t>
        </x:is>
      </x:c>
      <x:c r="I44" s="48" t="inlineStr">
        <x:is>
          <x:t xml:space="preserve">no</x:t>
        </x:is>
      </x:c>
      <x:c r="J44" s="48" t="inlineStr">
        <x:is>
          <x:t xml:space="preserve">yes</x:t>
        </x:is>
      </x:c>
    </x:row>
    <x:row r="45">
      <x:c r="A45" s="48" t="inlineStr">
        <x:is>
          <x:t xml:space="preserve">Evolute Solutions Onboarding | Cesar Grullon</x:t>
        </x:is>
      </x:c>
      <x:c r="B45" s="79" t="inlineStr">
        <x:is>
          <x:t xml:space="preserve">https://fathom.video/share/YEgQ1eKP9qrgawMyqNpmGoCcf-zFeybp</x:t>
        </x:is>
      </x:c>
      <x:c r="C45" s="48" t="b">
        <x:v>1</x:v>
      </x:c>
      <x:c r="D45" s="48" t="b">
        <x:v>0</x:v>
      </x:c>
      <x:c r="E45" s="48" t="inlineStr">
        <x:is>
          <x:t xml:space="preserve">2026-02-09T21:30:00Z</x:t>
        </x:is>
      </x:c>
      <x:c r="F45" s="48" t="inlineStr">
        <x:is>
          <x:t xml:space="preserve">2026-02-09T21:31:33Z</x:t>
        </x:is>
      </x:c>
      <x:c r="G45" s="48" t="inlineStr">
        <x:is>
          <x:t xml:space="preserve">2026-02-09T22:14:19Z</x:t>
        </x:is>
      </x:c>
      <x:c r="I45" s="48" t="inlineStr">
        <x:is>
          <x:t xml:space="preserve">no</x:t>
        </x:is>
      </x:c>
      <x:c r="J45" s="48" t="inlineStr">
        <x:is>
          <x:t xml:space="preserve">yes</x:t>
        </x:is>
      </x:c>
    </x:row>
    <x:row r="46">
      <x:c r="A46" s="48" t="inlineStr">
        <x:is>
          <x:t xml:space="preserve">Davi + Max Daily Meeting</x:t>
        </x:is>
      </x:c>
      <x:c r="B46" s="79" t="inlineStr">
        <x:is>
          <x:t xml:space="preserve">https://fathom.video/share/ShxVjA9ddLFjTUEj6aQEiJxzmGyRALoU</x:t>
        </x:is>
      </x:c>
      <x:c r="C46" s="48" t="b">
        <x:v>1</x:v>
      </x:c>
      <x:c r="D46" s="48" t="b">
        <x:v>0</x:v>
      </x:c>
      <x:c r="E46" s="48" t="inlineStr">
        <x:is>
          <x:t xml:space="preserve">2026-02-09T14:00:00Z</x:t>
        </x:is>
      </x:c>
      <x:c r="F46" s="48" t="inlineStr">
        <x:is>
          <x:t xml:space="preserve">2026-02-09T13:59:46Z</x:t>
        </x:is>
      </x:c>
      <x:c r="G46" s="48" t="inlineStr">
        <x:is>
          <x:t xml:space="preserve">2026-02-09T14:06:27Z</x:t>
        </x:is>
      </x:c>
      <x:c r="I46" s="48" t="inlineStr">
        <x:is>
          <x:t xml:space="preserve">no</x:t>
        </x:is>
      </x:c>
      <x:c r="J46" s="48" t="inlineStr">
        <x:is>
          <x:t xml:space="preserve">yes</x:t>
        </x:is>
      </x:c>
    </x:row>
    <x:row r="47">
      <x:c r="A47" s="48" t="inlineStr">
        <x:is>
          <x:t xml:space="preserve">Impromptu Google Meet Meeting</x:t>
        </x:is>
      </x:c>
      <x:c r="B47" s="79" t="inlineStr">
        <x:is>
          <x:t xml:space="preserve">https://fathom.video/share/8wzqLdzX2A3pvTdALtaVeJJfvi552_PQ</x:t>
        </x:is>
      </x:c>
      <x:c r="C47" s="48" t="b">
        <x:v>1</x:v>
      </x:c>
      <x:c r="D47" s="48" t="b">
        <x:v>0</x:v>
      </x:c>
      <x:c r="E47" s="48" t="inlineStr">
        <x:is>
          <x:t xml:space="preserve">2026-02-06T19:05:38Z</x:t>
        </x:is>
      </x:c>
      <x:c r="F47" s="48" t="inlineStr">
        <x:is>
          <x:t xml:space="preserve">2026-02-06T19:09:06Z</x:t>
        </x:is>
      </x:c>
      <x:c r="G47" s="48" t="inlineStr">
        <x:is>
          <x:t xml:space="preserve">2026-02-06T19:18:18Z</x:t>
        </x:is>
      </x:c>
      <x:c r="I47" s="48" t="inlineStr">
        <x:is>
          <x:t xml:space="preserve">no</x:t>
        </x:is>
      </x:c>
      <x:c r="J47" s="48" t="inlineStr">
        <x:is>
          <x:t xml:space="preserve">yes</x:t>
        </x:is>
      </x:c>
    </x:row>
    <x:row r="48">
      <x:c r="A48" s="48" t="inlineStr">
        <x:is>
          <x:t xml:space="preserve">Impromptu Google Meet Meeting</x:t>
        </x:is>
      </x:c>
      <x:c r="B48" s="79" t="inlineStr">
        <x:is>
          <x:t xml:space="preserve">https://fathom.video/share/bybD3fws44RZyKDY3X7PipEBsjC67E-j</x:t>
        </x:is>
      </x:c>
      <x:c r="C48" s="48" t="b">
        <x:v>1</x:v>
      </x:c>
      <x:c r="D48" s="48" t="b">
        <x:v>0</x:v>
      </x:c>
      <x:c r="E48" s="48" t="inlineStr">
        <x:is>
          <x:t xml:space="preserve">2026-02-06T18:54:31Z</x:t>
        </x:is>
      </x:c>
      <x:c r="F48" s="48" t="inlineStr">
        <x:is>
          <x:t xml:space="preserve">2026-02-06T18:55:07Z</x:t>
        </x:is>
      </x:c>
      <x:c r="G48" s="48" t="inlineStr">
        <x:is>
          <x:t xml:space="preserve">2026-02-06T19:01:20Z</x:t>
        </x:is>
      </x:c>
      <x:c r="I48" s="48" t="inlineStr">
        <x:is>
          <x:t xml:space="preserve">no</x:t>
        </x:is>
      </x:c>
      <x:c r="J48" s="48" t="inlineStr">
        <x:is>
          <x:t xml:space="preserve">yes</x:t>
        </x:is>
      </x:c>
    </x:row>
    <x:row r="49">
      <x:c r="A49" s="48" t="inlineStr">
        <x:is>
          <x:t xml:space="preserve">Bilal Onboarding</x:t>
        </x:is>
      </x:c>
      <x:c r="B49" s="79" t="inlineStr">
        <x:is>
          <x:t xml:space="preserve">https://fathom.video/share/MhsuoCdzEz5rUpaDy7HM4awxRMeGidYM</x:t>
        </x:is>
      </x:c>
      <x:c r="C49" s="48" t="b">
        <x:v>1</x:v>
      </x:c>
      <x:c r="D49" s="48" t="b">
        <x:v>0</x:v>
      </x:c>
      <x:c r="E49" s="48" t="inlineStr">
        <x:is>
          <x:t xml:space="preserve">2026-02-06T18:30:00Z</x:t>
        </x:is>
      </x:c>
      <x:c r="F49" s="48" t="inlineStr">
        <x:is>
          <x:t xml:space="preserve">2026-02-06T18:34:23Z</x:t>
        </x:is>
      </x:c>
      <x:c r="G49" s="48" t="inlineStr">
        <x:is>
          <x:t xml:space="preserve">2026-02-06T18:54:25Z</x:t>
        </x:is>
      </x:c>
      <x:c r="I49" s="48" t="inlineStr">
        <x:is>
          <x:t xml:space="preserve">no</x:t>
        </x:is>
      </x:c>
      <x:c r="J49" s="48" t="inlineStr">
        <x:is>
          <x:t xml:space="preserve">yes</x:t>
        </x:is>
      </x:c>
    </x:row>
    <x:row r="50">
      <x:c r="A50" s="48" t="inlineStr">
        <x:is>
          <x:t xml:space="preserve">Setter Meeting</x:t>
        </x:is>
      </x:c>
      <x:c r="B50" s="79" t="inlineStr">
        <x:is>
          <x:t xml:space="preserve">https://fathom.video/share/zjGWPDZsj_83GCJf9zwbnWFRf51d8gs3</x:t>
        </x:is>
      </x:c>
      <x:c r="C50" s="48" t="b">
        <x:v>1</x:v>
      </x:c>
      <x:c r="D50" s="48" t="b">
        <x:v>0</x:v>
      </x:c>
      <x:c r="E50" s="48" t="inlineStr">
        <x:is>
          <x:t xml:space="preserve">2026-02-05T15:00:00Z</x:t>
        </x:is>
      </x:c>
      <x:c r="F50" s="48" t="inlineStr">
        <x:is>
          <x:t xml:space="preserve">2026-02-05T15:01:24Z</x:t>
        </x:is>
      </x:c>
      <x:c r="G50" s="48" t="inlineStr">
        <x:is>
          <x:t xml:space="preserve">2026-02-05T15:26:39Z</x:t>
        </x:is>
      </x:c>
      <x:c r="I50" s="48" t="inlineStr">
        <x:is>
          <x:t xml:space="preserve">no</x:t>
        </x:is>
      </x:c>
      <x:c r="J50" s="48" t="inlineStr">
        <x:is>
          <x:t xml:space="preserve">yes</x:t>
        </x:is>
      </x:c>
    </x:row>
    <x:row r="51">
      <x:c r="A51" s="48" t="inlineStr">
        <x:is>
          <x:t xml:space="preserve">Davi + Max Daily Meeting</x:t>
        </x:is>
      </x:c>
      <x:c r="B51" s="79" t="inlineStr">
        <x:is>
          <x:t xml:space="preserve">https://fathom.video/share/o77L5mokYytQei_ErK6y4JCZKhyDizLT</x:t>
        </x:is>
      </x:c>
      <x:c r="C51" s="48" t="b">
        <x:v>1</x:v>
      </x:c>
      <x:c r="D51" s="48" t="b">
        <x:v>0</x:v>
      </x:c>
      <x:c r="E51" s="48" t="inlineStr">
        <x:is>
          <x:t xml:space="preserve">2026-02-05T14:00:00Z</x:t>
        </x:is>
      </x:c>
      <x:c r="F51" s="48" t="inlineStr">
        <x:is>
          <x:t xml:space="preserve">2026-02-05T13:59:18Z</x:t>
        </x:is>
      </x:c>
      <x:c r="G51" s="48" t="inlineStr">
        <x:is>
          <x:t xml:space="preserve">2026-02-05T14:41:06Z</x:t>
        </x:is>
      </x:c>
      <x:c r="I51" s="48" t="inlineStr">
        <x:is>
          <x:t xml:space="preserve">no</x:t>
        </x:is>
      </x:c>
      <x:c r="J51" s="48" t="inlineStr">
        <x:is>
          <x:t xml:space="preserve">yes</x:t>
        </x:is>
      </x:c>
    </x:row>
    <x:row r="52">
      <x:c r="A52" s="48" t="inlineStr">
        <x:is>
          <x:t xml:space="preserve">Bilal Chat</x:t>
        </x:is>
      </x:c>
      <x:c r="B52" s="79" t="inlineStr">
        <x:is>
          <x:t xml:space="preserve">https://fathom.video/share/gxsh5ZiE4Pmi4SDxhTzKwF2gUmEB1Umn</x:t>
        </x:is>
      </x:c>
      <x:c r="C52" s="48" t="b">
        <x:v>1</x:v>
      </x:c>
      <x:c r="D52" s="48" t="b">
        <x:v>0</x:v>
      </x:c>
      <x:c r="E52" s="48" t="inlineStr">
        <x:is>
          <x:t xml:space="preserve">2026-02-05T13:30:00Z</x:t>
        </x:is>
      </x:c>
      <x:c r="F52" s="48" t="inlineStr">
        <x:is>
          <x:t xml:space="preserve">2026-02-05T13:29:59Z</x:t>
        </x:is>
      </x:c>
      <x:c r="G52" s="48" t="inlineStr">
        <x:is>
          <x:t xml:space="preserve">2026-02-05T13:35:56Z</x:t>
        </x:is>
      </x:c>
      <x:c r="I52" s="48" t="inlineStr">
        <x:is>
          <x:t xml:space="preserve">no</x:t>
        </x:is>
      </x:c>
      <x:c r="J52" s="48" t="inlineStr">
        <x:is>
          <x:t xml:space="preserve">yes</x:t>
        </x:is>
      </x:c>
    </x:row>
    <x:row r="53">
      <x:c r="A53" s="48" t="inlineStr">
        <x:is>
          <x:t xml:space="preserve">Impromptu Google Meet Meeting</x:t>
        </x:is>
      </x:c>
      <x:c r="B53" s="79" t="inlineStr">
        <x:is>
          <x:t xml:space="preserve">https://fathom.video/share/Gi4cdMECHm4aQMTfXsSQFsb3yKTSPqBs</x:t>
        </x:is>
      </x:c>
      <x:c r="C53" s="48" t="b">
        <x:v>1</x:v>
      </x:c>
      <x:c r="D53" s="48" t="b">
        <x:v>0</x:v>
      </x:c>
      <x:c r="E53" s="48" t="inlineStr">
        <x:is>
          <x:t xml:space="preserve">2026-02-04T17:14:20Z</x:t>
        </x:is>
      </x:c>
      <x:c r="F53" s="48" t="inlineStr">
        <x:is>
          <x:t xml:space="preserve">2026-02-04T17:16:11Z</x:t>
        </x:is>
      </x:c>
      <x:c r="G53" s="48" t="inlineStr">
        <x:is>
          <x:t xml:space="preserve">2026-02-04T17:34:00Z</x:t>
        </x:is>
      </x:c>
      <x:c r="I53" s="48" t="inlineStr">
        <x:is>
          <x:t xml:space="preserve">no</x:t>
        </x:is>
      </x:c>
      <x:c r="J53" s="48" t="inlineStr">
        <x:is>
          <x:t xml:space="preserve">yes</x:t>
        </x:is>
      </x:c>
    </x:row>
    <x:row r="54">
      <x:c r="A54" s="48" t="inlineStr">
        <x:is>
          <x:t xml:space="preserve">Setter Meeting</x:t>
        </x:is>
      </x:c>
      <x:c r="B54" s="79" t="inlineStr">
        <x:is>
          <x:t xml:space="preserve">https://fathom.video/share/xzAKpdXWzArdQWe2MFuzB2reh3droL5d</x:t>
        </x:is>
      </x:c>
      <x:c r="C54" s="48" t="b">
        <x:v>1</x:v>
      </x:c>
      <x:c r="D54" s="48" t="b">
        <x:v>0</x:v>
      </x:c>
      <x:c r="E54" s="48" t="inlineStr">
        <x:is>
          <x:t xml:space="preserve">2026-02-04T15:00:00Z</x:t>
        </x:is>
      </x:c>
      <x:c r="F54" s="48" t="inlineStr">
        <x:is>
          <x:t xml:space="preserve">2026-02-04T14:59:39Z</x:t>
        </x:is>
      </x:c>
      <x:c r="G54" s="48" t="inlineStr">
        <x:is>
          <x:t xml:space="preserve">2026-02-04T15:44:51Z</x:t>
        </x:is>
      </x:c>
      <x:c r="I54" s="48" t="inlineStr">
        <x:is>
          <x:t xml:space="preserve">no</x:t>
        </x:is>
      </x:c>
      <x:c r="J54" s="48" t="inlineStr">
        <x:is>
          <x:t xml:space="preserve">yes</x:t>
        </x:is>
      </x:c>
    </x:row>
    <x:row r="55">
      <x:c r="A55" s="48" t="inlineStr">
        <x:is>
          <x:t xml:space="preserve">Impromptu Google Meet Meeting</x:t>
        </x:is>
      </x:c>
      <x:c r="B55" s="79" t="inlineStr">
        <x:is>
          <x:t xml:space="preserve">https://fathom.video/share/n5FF2xMCBJKHBndRsCqLyexQhhWxUQkx</x:t>
        </x:is>
      </x:c>
      <x:c r="C55" s="48" t="b">
        <x:v>0</x:v>
      </x:c>
      <x:c r="D55" s="48" t="b">
        <x:v>1</x:v>
      </x:c>
      <x:c r="E55" s="48" t="inlineStr">
        <x:is>
          <x:t xml:space="preserve">2026-02-03T16:40:36Z</x:t>
        </x:is>
      </x:c>
      <x:c r="F55" s="48" t="inlineStr">
        <x:is>
          <x:t xml:space="preserve">2026-02-03T16:42:43Z</x:t>
        </x:is>
      </x:c>
      <x:c r="G55" s="48" t="inlineStr">
        <x:is>
          <x:t xml:space="preserve">2026-02-03T17:46:21Z</x:t>
        </x:is>
      </x:c>
      <x:c r="I55" s="48" t="inlineStr">
        <x:is>
          <x:t xml:space="preserve">no</x:t>
        </x:is>
      </x:c>
      <x:c r="J55" s="48" t="inlineStr">
        <x:is>
          <x:t xml:space="preserve">yes</x:t>
        </x:is>
      </x:c>
      <x:c r="M55" t="inlineStr">
        <x:is>
          <x:t xml:space="preserve">Sales call yes. Added to All Booked Calls Data.</x:t>
        </x:is>
      </x:c>
    </x:row>
    <x:row r="56">
      <x:c r="A56" s="48" t="inlineStr">
        <x:is>
          <x:t xml:space="preserve">Impromptu Google Meet Meeting</x:t>
        </x:is>
      </x:c>
      <x:c r="B56" s="79" t="inlineStr">
        <x:is>
          <x:t xml:space="preserve">https://fathom.video/share/zQsyDsyKxDQrc4Gyb5PzB3mpfQ1MU3Yx</x:t>
        </x:is>
      </x:c>
      <x:c r="C56" s="48" t="b">
        <x:v>1</x:v>
      </x:c>
      <x:c r="D56" s="48" t="b">
        <x:v>0</x:v>
      </x:c>
      <x:c r="E56" s="48" t="inlineStr">
        <x:is>
          <x:t xml:space="preserve">2026-02-03T14:34:58Z</x:t>
        </x:is>
      </x:c>
      <x:c r="F56" s="48" t="inlineStr">
        <x:is>
          <x:t xml:space="preserve">2026-02-03T14:35:27Z</x:t>
        </x:is>
      </x:c>
      <x:c r="G56" s="48" t="inlineStr">
        <x:is>
          <x:t xml:space="preserve">2026-02-03T14:55:48Z</x:t>
        </x:is>
      </x:c>
      <x:c r="I56" s="48" t="inlineStr">
        <x:is>
          <x:t xml:space="preserve">no</x:t>
        </x:is>
      </x:c>
      <x:c r="J56" s="48" t="inlineStr">
        <x:is>
          <x:t xml:space="preserve">yes</x:t>
        </x:is>
      </x:c>
    </x:row>
    <x:row r="57">
      <x:c r="A57" s="48" t="inlineStr">
        <x:is>
          <x:t xml:space="preserve">Davi + Max Daily Meeting</x:t>
        </x:is>
      </x:c>
      <x:c r="B57" s="79" t="inlineStr">
        <x:is>
          <x:t xml:space="preserve">https://fathom.video/share/EKYLwSmURwK5PnF7twy3BRb_4z2DyrZu</x:t>
        </x:is>
      </x:c>
      <x:c r="C57" s="48" t="b">
        <x:v>1</x:v>
      </x:c>
      <x:c r="D57" s="48" t="b">
        <x:v>0</x:v>
      </x:c>
      <x:c r="E57" s="48" t="inlineStr">
        <x:is>
          <x:t xml:space="preserve">2026-02-02T14:00:00Z</x:t>
        </x:is>
      </x:c>
      <x:c r="F57" s="48" t="inlineStr">
        <x:is>
          <x:t xml:space="preserve">2026-02-02T14:00:28Z</x:t>
        </x:is>
      </x:c>
      <x:c r="G57" s="48" t="inlineStr">
        <x:is>
          <x:t xml:space="preserve">2026-02-02T14:06:15Z</x:t>
        </x:is>
      </x:c>
      <x:c r="I57" s="48" t="inlineStr">
        <x:is>
          <x:t xml:space="preserve">no</x:t>
        </x:is>
      </x:c>
      <x:c r="J57" s="48" t="inlineStr">
        <x:is>
          <x:t xml:space="preserve">yes</x:t>
        </x:is>
      </x:c>
    </x:row>
    <x:row r="58">
      <x:c r="C58" s="48" t="b">
        <x:v>0</x:v>
      </x:c>
      <x:c r="D58" s="48" t="b">
        <x:v>0</x:v>
      </x:c>
    </x:row>
    <x:row r="59">
      <x:c r="C59" s="48" t="b">
        <x:v>0</x:v>
      </x:c>
      <x:c r="D59" s="48" t="b">
        <x:v>0</x:v>
      </x:c>
    </x:row>
    <x:row r="60">
      <x:c r="C60" s="48" t="b">
        <x:v>0</x:v>
      </x:c>
      <x:c r="D60" s="48" t="b">
        <x:v>0</x:v>
      </x:c>
    </x:row>
    <x:row r="61">
      <x:c r="C61" s="48" t="b">
        <x:v>0</x:v>
      </x:c>
      <x:c r="D61" s="48" t="b">
        <x:v>0</x:v>
      </x:c>
    </x:row>
    <x:row r="62">
      <x:c r="C62" s="48" t="b">
        <x:v>0</x:v>
      </x:c>
      <x:c r="D62" s="48" t="b">
        <x:v>0</x:v>
      </x:c>
    </x:row>
    <x:row r="63">
      <x:c r="C63" s="48" t="b">
        <x:v>0</x:v>
      </x:c>
      <x:c r="D63" s="48" t="b">
        <x:v>0</x:v>
      </x:c>
    </x:row>
    <x:row r="64">
      <x:c r="C64" s="48" t="b">
        <x:v>0</x:v>
      </x:c>
      <x:c r="D64" s="48" t="b">
        <x:v>0</x:v>
      </x:c>
    </x:row>
    <x:row r="65">
      <x:c r="C65" s="48" t="b">
        <x:v>0</x:v>
      </x:c>
      <x:c r="D65" s="48" t="b">
        <x:v>0</x:v>
      </x:c>
    </x:row>
    <x:row r="66">
      <x:c r="C66" s="48" t="b">
        <x:v>0</x:v>
      </x:c>
      <x:c r="D66" s="48" t="b">
        <x:v>0</x:v>
      </x:c>
    </x:row>
    <x:row r="67">
      <x:c r="C67" s="48" t="b">
        <x:v>0</x:v>
      </x:c>
      <x:c r="D67" s="48" t="b">
        <x:v>0</x:v>
      </x:c>
    </x:row>
    <x:row r="68">
      <x:c r="C68" s="48" t="b">
        <x:v>0</x:v>
      </x:c>
      <x:c r="D68" s="48" t="b">
        <x:v>0</x:v>
      </x:c>
    </x:row>
    <x:row r="69">
      <x:c r="C69" s="48" t="b">
        <x:v>0</x:v>
      </x:c>
      <x:c r="D69" s="48" t="b">
        <x:v>0</x:v>
      </x:c>
    </x:row>
    <x:row r="70">
      <x:c r="C70" s="48" t="b">
        <x:v>0</x:v>
      </x:c>
      <x:c r="D70" s="48" t="b">
        <x:v>0</x:v>
      </x:c>
    </x:row>
    <x:row r="71">
      <x:c r="C71" s="48" t="b">
        <x:v>0</x:v>
      </x:c>
      <x:c r="D71" s="48" t="b">
        <x:v>0</x:v>
      </x:c>
    </x:row>
    <x:row r="72">
      <x:c r="C72" s="48" t="b">
        <x:v>0</x:v>
      </x:c>
      <x:c r="D72" s="48" t="b">
        <x:v>0</x:v>
      </x:c>
    </x:row>
    <x:row r="73">
      <x:c r="C73" s="48" t="b">
        <x:v>0</x:v>
      </x:c>
      <x:c r="D73" s="48" t="b">
        <x:v>0</x:v>
      </x:c>
    </x:row>
    <x:row r="74">
      <x:c r="C74" s="48" t="b">
        <x:v>0</x:v>
      </x:c>
      <x:c r="D74" s="48" t="b">
        <x:v>0</x:v>
      </x:c>
    </x:row>
    <x:row r="75">
      <x:c r="C75" s="48" t="b">
        <x:v>0</x:v>
      </x:c>
      <x:c r="D75" s="48" t="b">
        <x:v>0</x:v>
      </x:c>
    </x:row>
    <x:row r="76">
      <x:c r="C76" s="48" t="b">
        <x:v>0</x:v>
      </x:c>
      <x:c r="D76" s="48" t="b">
        <x:v>0</x:v>
      </x:c>
    </x:row>
    <x:row r="77">
      <x:c r="C77" s="48" t="b">
        <x:v>0</x:v>
      </x:c>
      <x:c r="D77" s="48" t="b">
        <x:v>0</x:v>
      </x:c>
    </x:row>
    <x:row r="78">
      <x:c r="C78" s="48" t="b">
        <x:v>0</x:v>
      </x:c>
      <x:c r="D78" s="48" t="b">
        <x:v>0</x:v>
      </x:c>
    </x:row>
    <x:row r="79">
      <x:c r="C79" s="48" t="b">
        <x:v>0</x:v>
      </x:c>
      <x:c r="D79" s="48" t="b">
        <x:v>0</x:v>
      </x:c>
    </x:row>
    <x:row r="80">
      <x:c r="C80" s="48" t="b">
        <x:v>0</x:v>
      </x:c>
      <x:c r="D80" s="48" t="b">
        <x:v>0</x:v>
      </x:c>
    </x:row>
    <x:row r="81">
      <x:c r="C81" s="48" t="b">
        <x:v>0</x:v>
      </x:c>
      <x:c r="D81" s="48" t="b">
        <x:v>0</x:v>
      </x:c>
    </x:row>
    <x:row r="82">
      <x:c r="C82" s="48" t="b">
        <x:v>0</x:v>
      </x:c>
      <x:c r="D82" s="48" t="b">
        <x:v>0</x:v>
      </x:c>
    </x:row>
    <x:row r="83">
      <x:c r="C83" s="48" t="b">
        <x:v>0</x:v>
      </x:c>
      <x:c r="D83" s="48" t="b">
        <x:v>0</x:v>
      </x:c>
    </x:row>
    <x:row r="84">
      <x:c r="C84" s="48" t="b">
        <x:v>0</x:v>
      </x:c>
      <x:c r="D84" s="48" t="b">
        <x:v>0</x:v>
      </x:c>
    </x:row>
    <x:row r="85">
      <x:c r="C85" s="48" t="b">
        <x:v>0</x:v>
      </x:c>
      <x:c r="D85" s="48" t="b">
        <x:v>0</x:v>
      </x:c>
    </x:row>
    <x:row r="86">
      <x:c r="C86" s="48" t="b">
        <x:v>0</x:v>
      </x:c>
      <x:c r="D86" s="48" t="b">
        <x:v>0</x:v>
      </x:c>
    </x:row>
    <x:row r="87">
      <x:c r="C87" s="48" t="b">
        <x:v>0</x:v>
      </x:c>
      <x:c r="D87" s="48" t="b">
        <x:v>0</x:v>
      </x:c>
    </x:row>
    <x:row r="88">
      <x:c r="C88" s="48" t="b">
        <x:v>0</x:v>
      </x:c>
      <x:c r="D88" s="48" t="b">
        <x:v>0</x:v>
      </x:c>
    </x:row>
    <x:row r="89">
      <x:c r="C89" s="48" t="b">
        <x:v>0</x:v>
      </x:c>
      <x:c r="D89" s="48" t="b">
        <x:v>0</x:v>
      </x:c>
    </x:row>
    <x:row r="90">
      <x:c r="C90" s="48" t="b">
        <x:v>0</x:v>
      </x:c>
      <x:c r="D90" s="48" t="b">
        <x:v>0</x:v>
      </x:c>
    </x:row>
    <x:row r="91">
      <x:c r="C91" s="48" t="b">
        <x:v>0</x:v>
      </x:c>
      <x:c r="D91" s="48" t="b">
        <x:v>0</x:v>
      </x:c>
    </x:row>
    <x:row r="92">
      <x:c r="C92" s="48" t="b">
        <x:v>0</x:v>
      </x:c>
      <x:c r="D92" s="48" t="b">
        <x:v>0</x:v>
      </x:c>
    </x:row>
    <x:row r="93">
      <x:c r="C93" s="48" t="b">
        <x:v>0</x:v>
      </x:c>
      <x:c r="D93" s="48" t="b">
        <x:v>0</x:v>
      </x:c>
    </x:row>
    <x:row r="94">
      <x:c r="C94" s="48" t="b">
        <x:v>0</x:v>
      </x:c>
      <x:c r="D94" s="48" t="b">
        <x:v>0</x:v>
      </x:c>
    </x:row>
    <x:row r="95">
      <x:c r="C95" s="48" t="b">
        <x:v>0</x:v>
      </x:c>
      <x:c r="D95" s="48" t="b">
        <x:v>0</x:v>
      </x:c>
    </x:row>
    <x:row r="96">
      <x:c r="C96" s="48" t="b">
        <x:v>0</x:v>
      </x:c>
      <x:c r="D96" s="48" t="b">
        <x:v>0</x:v>
      </x:c>
    </x:row>
    <x:row r="97">
      <x:c r="C97" s="48" t="b">
        <x:v>0</x:v>
      </x:c>
      <x:c r="D97" s="48" t="b">
        <x:v>0</x:v>
      </x:c>
    </x:row>
    <x:row r="98">
      <x:c r="C98" s="48" t="b">
        <x:v>0</x:v>
      </x:c>
      <x:c r="D98" s="48" t="b">
        <x:v>0</x:v>
      </x:c>
    </x:row>
    <x:row r="99">
      <x:c r="C99" s="48" t="b">
        <x:v>0</x:v>
      </x:c>
      <x:c r="D99" s="48" t="b">
        <x:v>0</x:v>
      </x:c>
    </x:row>
    <x:row r="100">
      <x:c r="C100" s="48" t="b">
        <x:v>0</x:v>
      </x:c>
      <x:c r="D100" s="48" t="b">
        <x:v>0</x:v>
      </x:c>
    </x:row>
    <x:row r="101">
      <x:c r="C101" s="48" t="b">
        <x:v>0</x:v>
      </x:c>
      <x:c r="D101" s="48" t="b">
        <x:v>0</x:v>
      </x:c>
    </x:row>
    <x:row r="102">
      <x:c r="C102" s="48" t="b">
        <x:v>0</x:v>
      </x:c>
      <x:c r="D102" s="48" t="b">
        <x:v>0</x:v>
      </x:c>
    </x:row>
    <x:row r="103">
      <x:c r="C103" s="48" t="b">
        <x:v>0</x:v>
      </x:c>
      <x:c r="D103" s="48" t="b">
        <x:v>0</x:v>
      </x:c>
    </x:row>
    <x:row r="104">
      <x:c r="C104" s="48" t="b">
        <x:v>0</x:v>
      </x:c>
      <x:c r="D104" s="48" t="b">
        <x:v>0</x:v>
      </x:c>
    </x:row>
    <x:row r="105">
      <x:c r="C105" s="48" t="b">
        <x:v>0</x:v>
      </x:c>
      <x:c r="D105" s="48" t="b">
        <x:v>0</x:v>
      </x:c>
    </x:row>
    <x:row r="106">
      <x:c r="C106" s="48" t="b">
        <x:v>0</x:v>
      </x:c>
      <x:c r="D106" s="48" t="b">
        <x:v>0</x:v>
      </x:c>
    </x:row>
    <x:row r="107">
      <x:c r="C107" s="48" t="b">
        <x:v>0</x:v>
      </x:c>
      <x:c r="D107" s="48" t="b">
        <x:v>0</x:v>
      </x:c>
    </x:row>
    <x:row r="108">
      <x:c r="C108" s="48" t="b">
        <x:v>0</x:v>
      </x:c>
      <x:c r="D108" s="48" t="b">
        <x:v>0</x:v>
      </x:c>
    </x:row>
    <x:row r="109">
      <x:c r="C109" s="48" t="b">
        <x:v>0</x:v>
      </x:c>
      <x:c r="D109" s="48" t="b">
        <x:v>0</x:v>
      </x:c>
    </x:row>
    <x:row r="110">
      <x:c r="C110" s="48" t="b">
        <x:v>0</x:v>
      </x:c>
      <x:c r="D110" s="48" t="b">
        <x:v>0</x:v>
      </x:c>
    </x:row>
    <x:row r="111">
      <x:c r="C111" s="48" t="b">
        <x:v>0</x:v>
      </x:c>
      <x:c r="D111" s="48" t="b">
        <x:v>0</x:v>
      </x:c>
    </x:row>
    <x:row r="112">
      <x:c r="C112" s="48" t="b">
        <x:v>0</x:v>
      </x:c>
      <x:c r="D112" s="48" t="b">
        <x:v>0</x:v>
      </x:c>
    </x:row>
    <x:row r="113">
      <x:c r="C113" s="48" t="b">
        <x:v>0</x:v>
      </x:c>
      <x:c r="D113" s="48" t="b">
        <x:v>0</x:v>
      </x:c>
    </x:row>
    <x:row r="114">
      <x:c r="C114" s="48" t="b">
        <x:v>0</x:v>
      </x:c>
      <x:c r="D114" s="48" t="b">
        <x:v>0</x:v>
      </x:c>
    </x:row>
    <x:row r="115">
      <x:c r="C115" s="48" t="b">
        <x:v>0</x:v>
      </x:c>
      <x:c r="D115" s="48" t="b">
        <x:v>0</x:v>
      </x:c>
    </x:row>
    <x:row r="116">
      <x:c r="C116" s="48" t="b">
        <x:v>0</x:v>
      </x:c>
      <x:c r="D116" s="48" t="b">
        <x:v>0</x:v>
      </x:c>
    </x:row>
    <x:row r="117">
      <x:c r="C117" s="48" t="b">
        <x:v>0</x:v>
      </x:c>
      <x:c r="D117" s="48" t="b">
        <x:v>0</x:v>
      </x:c>
    </x:row>
    <x:row r="118">
      <x:c r="C118" s="48" t="b">
        <x:v>0</x:v>
      </x:c>
      <x:c r="D118" s="48" t="b">
        <x:v>0</x:v>
      </x:c>
    </x:row>
    <x:row r="119">
      <x:c r="C119" s="48" t="b">
        <x:v>0</x:v>
      </x:c>
      <x:c r="D119" s="48" t="b">
        <x:v>0</x:v>
      </x:c>
    </x:row>
    <x:row r="120">
      <x:c r="C120" s="48" t="b">
        <x:v>0</x:v>
      </x:c>
      <x:c r="D120" s="48" t="b">
        <x:v>0</x:v>
      </x:c>
    </x:row>
    <x:row r="121">
      <x:c r="C121" s="48" t="b">
        <x:v>0</x:v>
      </x:c>
      <x:c r="D121" s="48" t="b">
        <x:v>0</x:v>
      </x:c>
    </x:row>
    <x:row r="122">
      <x:c r="C122" s="48" t="b">
        <x:v>0</x:v>
      </x:c>
      <x:c r="D122" s="48" t="b">
        <x:v>0</x:v>
      </x:c>
    </x:row>
    <x:row r="123">
      <x:c r="C123" s="48" t="b">
        <x:v>0</x:v>
      </x:c>
      <x:c r="D123" s="48" t="b">
        <x:v>0</x:v>
      </x:c>
    </x:row>
    <x:row r="124">
      <x:c r="C124" s="48" t="b">
        <x:v>0</x:v>
      </x:c>
      <x:c r="D124" s="48" t="b">
        <x:v>0</x:v>
      </x:c>
    </x:row>
    <x:row r="125">
      <x:c r="C125" s="48" t="b">
        <x:v>0</x:v>
      </x:c>
      <x:c r="D125" s="48" t="b">
        <x:v>0</x:v>
      </x:c>
    </x:row>
    <x:row r="126">
      <x:c r="C126" s="48" t="b">
        <x:v>0</x:v>
      </x:c>
      <x:c r="D126" s="48" t="b">
        <x:v>0</x:v>
      </x:c>
    </x:row>
    <x:row r="127">
      <x:c r="C127" s="48" t="b">
        <x:v>0</x:v>
      </x:c>
      <x:c r="D127" s="48" t="b">
        <x:v>0</x:v>
      </x:c>
    </x:row>
    <x:row r="128">
      <x:c r="C128" s="48" t="b">
        <x:v>0</x:v>
      </x:c>
      <x:c r="D128" s="48" t="b">
        <x:v>0</x:v>
      </x:c>
    </x:row>
    <x:row r="129">
      <x:c r="C129" s="48" t="b">
        <x:v>0</x:v>
      </x:c>
      <x:c r="D129" s="48" t="b">
        <x:v>0</x:v>
      </x:c>
    </x:row>
    <x:row r="130">
      <x:c r="C130" s="48" t="b">
        <x:v>0</x:v>
      </x:c>
      <x:c r="D130" s="48" t="b">
        <x:v>0</x:v>
      </x:c>
    </x:row>
    <x:row r="131">
      <x:c r="C131" s="48" t="b">
        <x:v>0</x:v>
      </x:c>
      <x:c r="D131" s="48" t="b">
        <x:v>0</x:v>
      </x:c>
    </x:row>
    <x:row r="132">
      <x:c r="C132" s="48" t="b">
        <x:v>0</x:v>
      </x:c>
      <x:c r="D132" s="48" t="b">
        <x:v>0</x:v>
      </x:c>
    </x:row>
    <x:row r="133">
      <x:c r="C133" s="48" t="b">
        <x:v>0</x:v>
      </x:c>
      <x:c r="D133" s="48" t="b">
        <x:v>0</x:v>
      </x:c>
    </x:row>
    <x:row r="134">
      <x:c r="C134" s="48" t="b">
        <x:v>0</x:v>
      </x:c>
      <x:c r="D134" s="48" t="b">
        <x:v>0</x:v>
      </x:c>
    </x:row>
    <x:row r="135">
      <x:c r="C135" s="48" t="b">
        <x:v>0</x:v>
      </x:c>
      <x:c r="D135" s="48" t="b">
        <x:v>0</x:v>
      </x:c>
    </x:row>
    <x:row r="136">
      <x:c r="C136" s="48" t="b">
        <x:v>0</x:v>
      </x:c>
      <x:c r="D136" s="48" t="b">
        <x:v>0</x:v>
      </x:c>
    </x:row>
    <x:row r="137">
      <x:c r="C137" s="48" t="b">
        <x:v>0</x:v>
      </x:c>
      <x:c r="D137" s="48" t="b">
        <x:v>0</x:v>
      </x:c>
    </x:row>
    <x:row r="138">
      <x:c r="C138" s="48" t="b">
        <x:v>0</x:v>
      </x:c>
      <x:c r="D138" s="48" t="b">
        <x:v>0</x:v>
      </x:c>
    </x:row>
    <x:row r="139">
      <x:c r="C139" s="48" t="b">
        <x:v>0</x:v>
      </x:c>
      <x:c r="D139" s="48" t="b">
        <x:v>0</x:v>
      </x:c>
    </x:row>
    <x:row r="140">
      <x:c r="C140" s="48" t="b">
        <x:v>0</x:v>
      </x:c>
      <x:c r="D140" s="48" t="b">
        <x:v>0</x:v>
      </x:c>
    </x:row>
    <x:row r="141">
      <x:c r="C141" s="48" t="b">
        <x:v>0</x:v>
      </x:c>
      <x:c r="D141" s="48" t="b">
        <x:v>0</x:v>
      </x:c>
    </x:row>
    <x:row r="142">
      <x:c r="C142" s="48" t="b">
        <x:v>0</x:v>
      </x:c>
      <x:c r="D142" s="48" t="b">
        <x:v>0</x:v>
      </x:c>
    </x:row>
    <x:row r="143">
      <x:c r="C143" s="48" t="b">
        <x:v>0</x:v>
      </x:c>
      <x:c r="D143" s="48" t="b">
        <x:v>0</x:v>
      </x:c>
    </x:row>
    <x:row r="144">
      <x:c r="C144" s="48" t="b">
        <x:v>0</x:v>
      </x:c>
      <x:c r="D144" s="48" t="b">
        <x:v>0</x:v>
      </x:c>
    </x:row>
    <x:row r="145">
      <x:c r="C145" s="48" t="b">
        <x:v>0</x:v>
      </x:c>
      <x:c r="D145" s="48" t="b">
        <x:v>0</x:v>
      </x:c>
    </x:row>
    <x:row r="146">
      <x:c r="C146" s="48" t="b">
        <x:v>0</x:v>
      </x:c>
      <x:c r="D146" s="48" t="b">
        <x:v>0</x:v>
      </x:c>
    </x:row>
    <x:row r="147">
      <x:c r="C147" s="48" t="b">
        <x:v>0</x:v>
      </x:c>
      <x:c r="D147" s="48" t="b">
        <x:v>0</x:v>
      </x:c>
    </x:row>
    <x:row r="148">
      <x:c r="C148" s="48" t="b">
        <x:v>0</x:v>
      </x:c>
      <x:c r="D148" s="48" t="b">
        <x:v>0</x:v>
      </x:c>
    </x:row>
    <x:row r="149">
      <x:c r="C149" s="48" t="b">
        <x:v>0</x:v>
      </x:c>
      <x:c r="D149" s="48" t="b">
        <x:v>0</x:v>
      </x:c>
    </x:row>
    <x:row r="150">
      <x:c r="C150" s="48" t="b">
        <x:v>0</x:v>
      </x:c>
      <x:c r="D150" s="48" t="b">
        <x:v>0</x:v>
      </x:c>
    </x:row>
    <x:row r="151">
      <x:c r="C151" s="48" t="b">
        <x:v>0</x:v>
      </x:c>
      <x:c r="D151" s="48" t="b">
        <x:v>0</x:v>
      </x:c>
    </x:row>
    <x:row r="152">
      <x:c r="C152" s="48" t="b">
        <x:v>0</x:v>
      </x:c>
      <x:c r="D152" s="48" t="b">
        <x:v>0</x:v>
      </x:c>
    </x:row>
    <x:row r="153">
      <x:c r="C153" s="48" t="b">
        <x:v>0</x:v>
      </x:c>
      <x:c r="D153" s="48" t="b">
        <x:v>0</x:v>
      </x:c>
    </x:row>
    <x:row r="154">
      <x:c r="C154" s="48" t="b">
        <x:v>0</x:v>
      </x:c>
      <x:c r="D154" s="48" t="b">
        <x:v>0</x:v>
      </x:c>
    </x:row>
    <x:row r="155">
      <x:c r="C155" s="48" t="b">
        <x:v>0</x:v>
      </x:c>
      <x:c r="D155" s="48" t="b">
        <x:v>0</x:v>
      </x:c>
    </x:row>
    <x:row r="156">
      <x:c r="C156" s="48" t="b">
        <x:v>0</x:v>
      </x:c>
      <x:c r="D156" s="48" t="b">
        <x:v>0</x:v>
      </x:c>
    </x:row>
    <x:row r="157">
      <x:c r="C157" s="48" t="b">
        <x:v>0</x:v>
      </x:c>
      <x:c r="D157" s="48" t="b">
        <x:v>0</x:v>
      </x:c>
    </x:row>
    <x:row r="158">
      <x:c r="C158" s="48" t="b">
        <x:v>0</x:v>
      </x:c>
      <x:c r="D158" s="48" t="b">
        <x:v>0</x:v>
      </x:c>
    </x:row>
    <x:row r="159">
      <x:c r="C159" s="48" t="b">
        <x:v>0</x:v>
      </x:c>
      <x:c r="D159" s="48" t="b">
        <x:v>0</x:v>
      </x:c>
    </x:row>
    <x:row r="160">
      <x:c r="C160" s="48" t="b">
        <x:v>0</x:v>
      </x:c>
      <x:c r="D160" s="48" t="b">
        <x:v>0</x:v>
      </x:c>
    </x:row>
    <x:row r="161">
      <x:c r="C161" s="48" t="b">
        <x:v>0</x:v>
      </x:c>
      <x:c r="D161" s="48" t="b">
        <x:v>0</x:v>
      </x:c>
    </x:row>
    <x:row r="162">
      <x:c r="C162" s="48" t="b">
        <x:v>0</x:v>
      </x:c>
      <x:c r="D162" s="48" t="b">
        <x:v>0</x:v>
      </x:c>
    </x:row>
    <x:row r="163">
      <x:c r="C163" s="48" t="b">
        <x:v>0</x:v>
      </x:c>
      <x:c r="D163" s="48" t="b">
        <x:v>0</x:v>
      </x:c>
    </x:row>
    <x:row r="164">
      <x:c r="C164" s="48" t="b">
        <x:v>0</x:v>
      </x:c>
      <x:c r="D164" s="48" t="b">
        <x:v>0</x:v>
      </x:c>
    </x:row>
    <x:row r="165">
      <x:c r="C165" s="48" t="b">
        <x:v>0</x:v>
      </x:c>
      <x:c r="D165" s="48" t="b">
        <x:v>0</x:v>
      </x:c>
    </x:row>
    <x:row r="166">
      <x:c r="C166" s="48" t="b">
        <x:v>0</x:v>
      </x:c>
      <x:c r="D166" s="48" t="b">
        <x:v>0</x:v>
      </x:c>
    </x:row>
    <x:row r="167">
      <x:c r="C167" s="48" t="b">
        <x:v>0</x:v>
      </x:c>
      <x:c r="D167" s="48" t="b">
        <x:v>0</x:v>
      </x:c>
    </x:row>
    <x:row r="168">
      <x:c r="C168" s="48" t="b">
        <x:v>0</x:v>
      </x:c>
      <x:c r="D168" s="48" t="b">
        <x:v>0</x:v>
      </x:c>
    </x:row>
    <x:row r="169">
      <x:c r="C169" s="48" t="b">
        <x:v>0</x:v>
      </x:c>
      <x:c r="D169" s="48" t="b">
        <x:v>0</x:v>
      </x:c>
    </x:row>
    <x:row r="170">
      <x:c r="C170" s="48" t="b">
        <x:v>0</x:v>
      </x:c>
      <x:c r="D170" s="48" t="b">
        <x:v>0</x:v>
      </x:c>
    </x:row>
    <x:row r="171">
      <x:c r="C171" s="48" t="b">
        <x:v>0</x:v>
      </x:c>
      <x:c r="D171" s="48" t="b">
        <x:v>0</x:v>
      </x:c>
    </x:row>
    <x:row r="172">
      <x:c r="C172" s="48" t="b">
        <x:v>0</x:v>
      </x:c>
      <x:c r="D172" s="48" t="b">
        <x:v>0</x:v>
      </x:c>
    </x:row>
    <x:row r="173">
      <x:c r="C173" s="48" t="b">
        <x:v>0</x:v>
      </x:c>
      <x:c r="D173" s="48" t="b">
        <x:v>0</x:v>
      </x:c>
    </x:row>
    <x:row r="174">
      <x:c r="C174" s="48" t="b">
        <x:v>0</x:v>
      </x:c>
      <x:c r="D174" s="48" t="b">
        <x:v>0</x:v>
      </x:c>
    </x:row>
    <x:row r="175">
      <x:c r="C175" s="48" t="b">
        <x:v>0</x:v>
      </x:c>
      <x:c r="D175" s="48" t="b">
        <x:v>0</x:v>
      </x:c>
    </x:row>
    <x:row r="176">
      <x:c r="C176" s="48" t="b">
        <x:v>0</x:v>
      </x:c>
      <x:c r="D176" s="48" t="b">
        <x:v>0</x:v>
      </x:c>
    </x:row>
    <x:row r="177">
      <x:c r="C177" s="48" t="b">
        <x:v>0</x:v>
      </x:c>
      <x:c r="D177" s="48" t="b">
        <x:v>0</x:v>
      </x:c>
    </x:row>
    <x:row r="178">
      <x:c r="C178" s="48" t="b">
        <x:v>0</x:v>
      </x:c>
      <x:c r="D178" s="48" t="b">
        <x:v>0</x:v>
      </x:c>
    </x:row>
    <x:row r="179">
      <x:c r="C179" s="48" t="b">
        <x:v>0</x:v>
      </x:c>
      <x:c r="D179" s="48" t="b">
        <x:v>0</x:v>
      </x:c>
    </x:row>
    <x:row r="180">
      <x:c r="C180" s="48" t="b">
        <x:v>0</x:v>
      </x:c>
      <x:c r="D180" s="48" t="b">
        <x:v>0</x:v>
      </x:c>
    </x:row>
    <x:row r="181">
      <x:c r="C181" s="48" t="b">
        <x:v>0</x:v>
      </x:c>
      <x:c r="D181" s="48" t="b">
        <x:v>0</x:v>
      </x:c>
    </x:row>
    <x:row r="182">
      <x:c r="C182" s="48" t="b">
        <x:v>0</x:v>
      </x:c>
      <x:c r="D182" s="48" t="b">
        <x:v>0</x:v>
      </x:c>
    </x:row>
    <x:row r="183">
      <x:c r="C183" s="48" t="b">
        <x:v>0</x:v>
      </x:c>
      <x:c r="D183" s="48" t="b">
        <x:v>0</x:v>
      </x:c>
    </x:row>
    <x:row r="184">
      <x:c r="C184" s="48" t="b">
        <x:v>0</x:v>
      </x:c>
      <x:c r="D184" s="48" t="b">
        <x:v>0</x:v>
      </x:c>
    </x:row>
    <x:row r="185">
      <x:c r="C185" s="48" t="b">
        <x:v>0</x:v>
      </x:c>
      <x:c r="D185" s="48" t="b">
        <x:v>0</x:v>
      </x:c>
    </x:row>
    <x:row r="186">
      <x:c r="C186" s="48" t="b">
        <x:v>0</x:v>
      </x:c>
      <x:c r="D186" s="48" t="b">
        <x:v>0</x:v>
      </x:c>
    </x:row>
    <x:row r="187">
      <x:c r="C187" s="48" t="b">
        <x:v>0</x:v>
      </x:c>
      <x:c r="D187" s="48" t="b">
        <x:v>0</x:v>
      </x:c>
    </x:row>
    <x:row r="188">
      <x:c r="C188" s="48" t="b">
        <x:v>0</x:v>
      </x:c>
      <x:c r="D188" s="48" t="b">
        <x:v>0</x:v>
      </x:c>
    </x:row>
    <x:row r="189">
      <x:c r="C189" s="48" t="b">
        <x:v>0</x:v>
      </x:c>
      <x:c r="D189" s="48" t="b">
        <x:v>0</x:v>
      </x:c>
    </x:row>
    <x:row r="190">
      <x:c r="C190" s="48" t="b">
        <x:v>0</x:v>
      </x:c>
      <x:c r="D190" s="48" t="b">
        <x:v>0</x:v>
      </x:c>
    </x:row>
    <x:row r="191">
      <x:c r="C191" s="48" t="b">
        <x:v>0</x:v>
      </x:c>
      <x:c r="D191" s="48" t="b">
        <x:v>0</x:v>
      </x:c>
    </x:row>
    <x:row r="192">
      <x:c r="C192" s="48" t="b">
        <x:v>0</x:v>
      </x:c>
      <x:c r="D192" s="48" t="b">
        <x:v>0</x:v>
      </x:c>
    </x:row>
    <x:row r="193">
      <x:c r="C193" s="48" t="b">
        <x:v>0</x:v>
      </x:c>
      <x:c r="D193" s="48" t="b">
        <x:v>0</x:v>
      </x:c>
    </x:row>
    <x:row r="194">
      <x:c r="C194" s="48" t="b">
        <x:v>0</x:v>
      </x:c>
      <x:c r="D194" s="48" t="b">
        <x:v>0</x:v>
      </x:c>
    </x:row>
    <x:row r="195">
      <x:c r="C195" s="48" t="b">
        <x:v>0</x:v>
      </x:c>
      <x:c r="D195" s="48" t="b">
        <x:v>0</x:v>
      </x:c>
    </x:row>
    <x:row r="196">
      <x:c r="C196" s="48" t="b">
        <x:v>0</x:v>
      </x:c>
      <x:c r="D196" s="48" t="b">
        <x:v>0</x:v>
      </x:c>
    </x:row>
    <x:row r="197">
      <x:c r="C197" s="48" t="b">
        <x:v>0</x:v>
      </x:c>
      <x:c r="D197" s="48" t="b">
        <x:v>0</x:v>
      </x:c>
    </x:row>
    <x:row r="198">
      <x:c r="C198" s="48" t="b">
        <x:v>0</x:v>
      </x:c>
      <x:c r="D198" s="48" t="b">
        <x:v>0</x:v>
      </x:c>
    </x:row>
    <x:row r="199">
      <x:c r="C199" s="48" t="b">
        <x:v>0</x:v>
      </x:c>
      <x:c r="D199" s="48" t="b">
        <x:v>0</x:v>
      </x:c>
    </x:row>
    <x:row r="200">
      <x:c r="C200" s="48" t="b">
        <x:v>0</x:v>
      </x:c>
      <x:c r="D200" s="48" t="b">
        <x:v>0</x:v>
      </x:c>
    </x:row>
    <x:row r="201">
      <x:c r="C201" s="48" t="b">
        <x:v>0</x:v>
      </x:c>
      <x:c r="D201" s="48" t="b">
        <x:v>0</x:v>
      </x:c>
    </x:row>
    <x:row r="202">
      <x:c r="C202" s="48" t="b">
        <x:v>0</x:v>
      </x:c>
      <x:c r="D202" s="48" t="b">
        <x:v>0</x:v>
      </x:c>
    </x:row>
    <x:row r="203">
      <x:c r="C203" s="48" t="b">
        <x:v>0</x:v>
      </x:c>
      <x:c r="D203" s="48" t="b">
        <x:v>0</x:v>
      </x:c>
    </x:row>
    <x:row r="204">
      <x:c r="C204" s="48" t="b">
        <x:v>0</x:v>
      </x:c>
      <x:c r="D204" s="48" t="b">
        <x:v>0</x:v>
      </x:c>
    </x:row>
    <x:row r="205">
      <x:c r="C205" s="48" t="b">
        <x:v>0</x:v>
      </x:c>
      <x:c r="D205" s="48" t="b">
        <x:v>0</x:v>
      </x:c>
    </x:row>
    <x:row r="206">
      <x:c r="C206" s="48" t="b">
        <x:v>0</x:v>
      </x:c>
      <x:c r="D206" s="48" t="b">
        <x:v>0</x:v>
      </x:c>
    </x:row>
    <x:row r="207">
      <x:c r="C207" s="48" t="b">
        <x:v>0</x:v>
      </x:c>
      <x:c r="D207" s="48" t="b">
        <x:v>0</x:v>
      </x:c>
    </x:row>
    <x:row r="208">
      <x:c r="C208" s="48" t="b">
        <x:v>0</x:v>
      </x:c>
      <x:c r="D208" s="48" t="b">
        <x:v>0</x:v>
      </x:c>
    </x:row>
    <x:row r="209">
      <x:c r="C209" s="48" t="b">
        <x:v>0</x:v>
      </x:c>
      <x:c r="D209" s="48" t="b">
        <x:v>0</x:v>
      </x:c>
    </x:row>
    <x:row r="210">
      <x:c r="C210" s="48" t="b">
        <x:v>0</x:v>
      </x:c>
      <x:c r="D210" s="48" t="b">
        <x:v>0</x:v>
      </x:c>
    </x:row>
    <x:row r="211">
      <x:c r="C211" s="48" t="b">
        <x:v>0</x:v>
      </x:c>
      <x:c r="D211" s="48" t="b">
        <x:v>0</x:v>
      </x:c>
    </x:row>
    <x:row r="212">
      <x:c r="C212" s="48" t="b">
        <x:v>0</x:v>
      </x:c>
      <x:c r="D212" s="48" t="b">
        <x:v>0</x:v>
      </x:c>
    </x:row>
    <x:row r="213">
      <x:c r="C213" s="48" t="b">
        <x:v>0</x:v>
      </x:c>
      <x:c r="D213" s="48" t="b">
        <x:v>0</x:v>
      </x:c>
    </x:row>
    <x:row r="214">
      <x:c r="C214" s="48" t="b">
        <x:v>0</x:v>
      </x:c>
      <x:c r="D214" s="48" t="b">
        <x:v>0</x:v>
      </x:c>
    </x:row>
    <x:row r="215">
      <x:c r="C215" s="48" t="b">
        <x:v>0</x:v>
      </x:c>
      <x:c r="D215" s="48" t="b">
        <x:v>0</x:v>
      </x:c>
    </x:row>
    <x:row r="216">
      <x:c r="C216" s="48" t="b">
        <x:v>0</x:v>
      </x:c>
      <x:c r="D216" s="48" t="b">
        <x:v>0</x:v>
      </x:c>
    </x:row>
    <x:row r="217">
      <x:c r="C217" s="48" t="b">
        <x:v>0</x:v>
      </x:c>
      <x:c r="D217" s="48" t="b">
        <x:v>0</x:v>
      </x:c>
    </x:row>
    <x:row r="218">
      <x:c r="C218" s="48" t="b">
        <x:v>0</x:v>
      </x:c>
      <x:c r="D218" s="48" t="b">
        <x:v>0</x:v>
      </x:c>
    </x:row>
    <x:row r="219">
      <x:c r="C219" s="48" t="b">
        <x:v>0</x:v>
      </x:c>
      <x:c r="D219" s="48" t="b">
        <x:v>0</x:v>
      </x:c>
    </x:row>
    <x:row r="220">
      <x:c r="C220" s="48" t="b">
        <x:v>0</x:v>
      </x:c>
      <x:c r="D220" s="48" t="b">
        <x:v>0</x:v>
      </x:c>
    </x:row>
    <x:row r="221">
      <x:c r="C221" s="48" t="b">
        <x:v>0</x:v>
      </x:c>
      <x:c r="D221" s="48" t="b">
        <x:v>0</x:v>
      </x:c>
    </x:row>
    <x:row r="222">
      <x:c r="C222" s="48" t="b">
        <x:v>0</x:v>
      </x:c>
      <x:c r="D222" s="48" t="b">
        <x:v>0</x:v>
      </x:c>
    </x:row>
    <x:row r="223">
      <x:c r="C223" s="48" t="b">
        <x:v>0</x:v>
      </x:c>
      <x:c r="D223" s="48" t="b">
        <x:v>0</x:v>
      </x:c>
    </x:row>
    <x:row r="224">
      <x:c r="C224" s="48" t="b">
        <x:v>0</x:v>
      </x:c>
      <x:c r="D224" s="48" t="b">
        <x:v>0</x:v>
      </x:c>
    </x:row>
    <x:row r="225">
      <x:c r="C225" s="48" t="b">
        <x:v>0</x:v>
      </x:c>
      <x:c r="D225" s="48" t="b">
        <x:v>0</x:v>
      </x:c>
    </x:row>
    <x:row r="226">
      <x:c r="C226" s="48" t="b">
        <x:v>0</x:v>
      </x:c>
      <x:c r="D226" s="48" t="b">
        <x:v>0</x:v>
      </x:c>
    </x:row>
    <x:row r="227">
      <x:c r="C227" s="48" t="b">
        <x:v>0</x:v>
      </x:c>
      <x:c r="D227" s="48" t="b">
        <x:v>0</x:v>
      </x:c>
    </x:row>
    <x:row r="228">
      <x:c r="C228" s="48" t="b">
        <x:v>0</x:v>
      </x:c>
      <x:c r="D228" s="48" t="b">
        <x:v>0</x:v>
      </x:c>
    </x:row>
    <x:row r="229">
      <x:c r="C229" s="48" t="b">
        <x:v>0</x:v>
      </x:c>
      <x:c r="D229" s="48" t="b">
        <x:v>0</x:v>
      </x:c>
    </x:row>
    <x:row r="230">
      <x:c r="C230" s="48" t="b">
        <x:v>0</x:v>
      </x:c>
      <x:c r="D230" s="48" t="b">
        <x:v>0</x:v>
      </x:c>
    </x:row>
    <x:row r="231">
      <x:c r="C231" s="48" t="b">
        <x:v>0</x:v>
      </x:c>
      <x:c r="D231" s="48" t="b">
        <x:v>0</x:v>
      </x:c>
    </x:row>
    <x:row r="232">
      <x:c r="C232" s="48" t="b">
        <x:v>0</x:v>
      </x:c>
      <x:c r="D232" s="48" t="b">
        <x:v>0</x:v>
      </x:c>
    </x:row>
    <x:row r="233">
      <x:c r="C233" s="48" t="b">
        <x:v>0</x:v>
      </x:c>
      <x:c r="D233" s="48" t="b">
        <x:v>0</x:v>
      </x:c>
    </x:row>
    <x:row r="234">
      <x:c r="C234" s="48" t="b">
        <x:v>0</x:v>
      </x:c>
      <x:c r="D234" s="48" t="b">
        <x:v>0</x:v>
      </x:c>
    </x:row>
    <x:row r="235">
      <x:c r="C235" s="48" t="b">
        <x:v>0</x:v>
      </x:c>
      <x:c r="D235" s="48" t="b">
        <x:v>0</x:v>
      </x:c>
    </x:row>
    <x:row r="236">
      <x:c r="C236" s="48" t="b">
        <x:v>0</x:v>
      </x:c>
      <x:c r="D236" s="48" t="b">
        <x:v>0</x:v>
      </x:c>
    </x:row>
    <x:row r="237">
      <x:c r="C237" s="48" t="b">
        <x:v>0</x:v>
      </x:c>
      <x:c r="D237" s="48" t="b">
        <x:v>0</x:v>
      </x:c>
    </x:row>
    <x:row r="238">
      <x:c r="C238" s="48" t="b">
        <x:v>0</x:v>
      </x:c>
      <x:c r="D238" s="48" t="b">
        <x:v>0</x:v>
      </x:c>
    </x:row>
    <x:row r="239">
      <x:c r="C239" s="48" t="b">
        <x:v>0</x:v>
      </x:c>
      <x:c r="D239" s="48" t="b">
        <x:v>0</x:v>
      </x:c>
    </x:row>
    <x:row r="240">
      <x:c r="C240" s="48" t="b">
        <x:v>0</x:v>
      </x:c>
      <x:c r="D240" s="48" t="b">
        <x:v>0</x:v>
      </x:c>
    </x:row>
    <x:row r="241">
      <x:c r="C241" s="48" t="b">
        <x:v>0</x:v>
      </x:c>
      <x:c r="D241" s="48" t="b">
        <x:v>0</x:v>
      </x:c>
    </x:row>
    <x:row r="242">
      <x:c r="C242" s="48" t="b">
        <x:v>0</x:v>
      </x:c>
      <x:c r="D242" s="48" t="b">
        <x:v>0</x:v>
      </x:c>
    </x:row>
    <x:row r="243">
      <x:c r="C243" s="48" t="b">
        <x:v>0</x:v>
      </x:c>
      <x:c r="D243" s="48" t="b">
        <x:v>0</x:v>
      </x:c>
    </x:row>
    <x:row r="244">
      <x:c r="C244" s="48" t="b">
        <x:v>0</x:v>
      </x:c>
      <x:c r="D244" s="48" t="b">
        <x:v>0</x:v>
      </x:c>
    </x:row>
    <x:row r="245">
      <x:c r="C245" s="48" t="b">
        <x:v>0</x:v>
      </x:c>
      <x:c r="D245" s="48" t="b">
        <x:v>0</x:v>
      </x:c>
    </x:row>
    <x:row r="246">
      <x:c r="C246" s="48" t="b">
        <x:v>0</x:v>
      </x:c>
      <x:c r="D246" s="48" t="b">
        <x:v>0</x:v>
      </x:c>
    </x:row>
    <x:row r="247">
      <x:c r="C247" s="48" t="b">
        <x:v>0</x:v>
      </x:c>
      <x:c r="D247" s="48" t="b">
        <x:v>0</x:v>
      </x:c>
    </x:row>
    <x:row r="248">
      <x:c r="C248" s="48" t="b">
        <x:v>0</x:v>
      </x:c>
      <x:c r="D248" s="48" t="b">
        <x:v>0</x:v>
      </x:c>
    </x:row>
    <x:row r="249">
      <x:c r="C249" s="48" t="b">
        <x:v>0</x:v>
      </x:c>
      <x:c r="D249" s="48" t="b">
        <x:v>0</x:v>
      </x:c>
    </x:row>
    <x:row r="250">
      <x:c r="C250" s="48" t="b">
        <x:v>0</x:v>
      </x:c>
      <x:c r="D250" s="48" t="b">
        <x:v>0</x:v>
      </x:c>
    </x:row>
    <x:row r="251">
      <x:c r="C251" s="48" t="b">
        <x:v>0</x:v>
      </x:c>
      <x:c r="D251" s="48" t="b">
        <x:v>0</x:v>
      </x:c>
    </x:row>
    <x:row r="252">
      <x:c r="C252" s="48" t="b">
        <x:v>0</x:v>
      </x:c>
      <x:c r="D252" s="48" t="b">
        <x:v>0</x:v>
      </x:c>
    </x:row>
    <x:row r="253">
      <x:c r="C253" s="48" t="b">
        <x:v>0</x:v>
      </x:c>
      <x:c r="D253" s="48" t="b">
        <x:v>0</x:v>
      </x:c>
    </x:row>
    <x:row r="254">
      <x:c r="C254" s="48" t="b">
        <x:v>0</x:v>
      </x:c>
      <x:c r="D254" s="48" t="b">
        <x:v>0</x:v>
      </x:c>
    </x:row>
    <x:row r="255">
      <x:c r="C255" s="48" t="b">
        <x:v>0</x:v>
      </x:c>
      <x:c r="D255" s="48" t="b">
        <x:v>0</x:v>
      </x:c>
    </x:row>
    <x:row r="256">
      <x:c r="C256" s="48" t="b">
        <x:v>0</x:v>
      </x:c>
      <x:c r="D256" s="48" t="b">
        <x:v>0</x:v>
      </x:c>
    </x:row>
    <x:row r="257">
      <x:c r="C257" s="48" t="b">
        <x:v>0</x:v>
      </x:c>
      <x:c r="D257" s="48" t="b">
        <x:v>0</x:v>
      </x:c>
    </x:row>
    <x:row r="258">
      <x:c r="C258" s="48" t="b">
        <x:v>0</x:v>
      </x:c>
      <x:c r="D258" s="48" t="b">
        <x:v>0</x:v>
      </x:c>
    </x:row>
    <x:row r="259">
      <x:c r="C259" s="48" t="b">
        <x:v>0</x:v>
      </x:c>
      <x:c r="D259" s="48" t="b">
        <x:v>0</x:v>
      </x:c>
    </x:row>
    <x:row r="260">
      <x:c r="C260" s="48" t="b">
        <x:v>0</x:v>
      </x:c>
      <x:c r="D260" s="48" t="b">
        <x:v>0</x:v>
      </x:c>
    </x:row>
    <x:row r="261">
      <x:c r="C261" s="48" t="b">
        <x:v>0</x:v>
      </x:c>
      <x:c r="D261" s="48" t="b">
        <x:v>0</x:v>
      </x:c>
    </x:row>
    <x:row r="262">
      <x:c r="C262" s="48" t="b">
        <x:v>0</x:v>
      </x:c>
      <x:c r="D262" s="48" t="b">
        <x:v>0</x:v>
      </x:c>
    </x:row>
    <x:row r="263">
      <x:c r="C263" s="48" t="b">
        <x:v>0</x:v>
      </x:c>
      <x:c r="D263" s="48" t="b">
        <x:v>0</x:v>
      </x:c>
    </x:row>
    <x:row r="264">
      <x:c r="C264" s="48" t="b">
        <x:v>0</x:v>
      </x:c>
      <x:c r="D264" s="48" t="b">
        <x:v>0</x:v>
      </x:c>
    </x:row>
    <x:row r="265">
      <x:c r="C265" s="48" t="b">
        <x:v>0</x:v>
      </x:c>
      <x:c r="D265" s="48" t="b">
        <x:v>0</x:v>
      </x:c>
    </x:row>
    <x:row r="266">
      <x:c r="C266" s="48" t="b">
        <x:v>0</x:v>
      </x:c>
      <x:c r="D266" s="48" t="b">
        <x:v>0</x:v>
      </x:c>
    </x:row>
    <x:row r="267">
      <x:c r="C267" s="48" t="b">
        <x:v>0</x:v>
      </x:c>
      <x:c r="D267" s="48" t="b">
        <x:v>0</x:v>
      </x:c>
    </x:row>
    <x:row r="268">
      <x:c r="C268" s="48" t="b">
        <x:v>0</x:v>
      </x:c>
      <x:c r="D268" s="48" t="b">
        <x:v>0</x:v>
      </x:c>
    </x:row>
    <x:row r="269">
      <x:c r="C269" s="48" t="b">
        <x:v>0</x:v>
      </x:c>
      <x:c r="D269" s="48" t="b">
        <x:v>0</x:v>
      </x:c>
    </x:row>
    <x:row r="270">
      <x:c r="C270" s="48" t="b">
        <x:v>0</x:v>
      </x:c>
      <x:c r="D270" s="48" t="b">
        <x:v>0</x:v>
      </x:c>
    </x:row>
    <x:row r="271">
      <x:c r="C271" s="48" t="b">
        <x:v>0</x:v>
      </x:c>
      <x:c r="D271" s="48" t="b">
        <x:v>0</x:v>
      </x:c>
    </x:row>
    <x:row r="272">
      <x:c r="C272" s="48" t="b">
        <x:v>0</x:v>
      </x:c>
      <x:c r="D272" s="48" t="b">
        <x:v>0</x:v>
      </x:c>
    </x:row>
    <x:row r="273">
      <x:c r="C273" s="48" t="b">
        <x:v>0</x:v>
      </x:c>
      <x:c r="D273" s="48" t="b">
        <x:v>0</x:v>
      </x:c>
    </x:row>
    <x:row r="274">
      <x:c r="C274" s="48" t="b">
        <x:v>0</x:v>
      </x:c>
      <x:c r="D274" s="48" t="b">
        <x:v>0</x:v>
      </x:c>
    </x:row>
    <x:row r="275">
      <x:c r="C275" s="48" t="b">
        <x:v>0</x:v>
      </x:c>
      <x:c r="D275" s="48" t="b">
        <x:v>0</x:v>
      </x:c>
    </x:row>
    <x:row r="276">
      <x:c r="C276" s="48" t="b">
        <x:v>0</x:v>
      </x:c>
      <x:c r="D276" s="48" t="b">
        <x:v>0</x:v>
      </x:c>
    </x:row>
    <x:row r="277">
      <x:c r="C277" s="48" t="b">
        <x:v>0</x:v>
      </x:c>
      <x:c r="D277" s="48" t="b">
        <x:v>0</x:v>
      </x:c>
    </x:row>
    <x:row r="278">
      <x:c r="C278" s="48" t="b">
        <x:v>0</x:v>
      </x:c>
      <x:c r="D278" s="48" t="b">
        <x:v>0</x:v>
      </x:c>
    </x:row>
    <x:row r="279">
      <x:c r="C279" s="48" t="b">
        <x:v>0</x:v>
      </x:c>
      <x:c r="D279" s="48" t="b">
        <x:v>0</x:v>
      </x:c>
    </x:row>
    <x:row r="280">
      <x:c r="C280" s="48" t="b">
        <x:v>0</x:v>
      </x:c>
      <x:c r="D280" s="48" t="b">
        <x:v>0</x:v>
      </x:c>
    </x:row>
    <x:row r="281">
      <x:c r="C281" s="48" t="b">
        <x:v>0</x:v>
      </x:c>
      <x:c r="D281" s="48" t="b">
        <x:v>0</x:v>
      </x:c>
    </x:row>
    <x:row r="282">
      <x:c r="C282" s="48" t="b">
        <x:v>0</x:v>
      </x:c>
      <x:c r="D282" s="48" t="b">
        <x:v>0</x:v>
      </x:c>
    </x:row>
    <x:row r="283">
      <x:c r="C283" s="48" t="b">
        <x:v>0</x:v>
      </x:c>
      <x:c r="D283" s="48" t="b">
        <x:v>0</x:v>
      </x:c>
    </x:row>
    <x:row r="284">
      <x:c r="C284" s="48" t="b">
        <x:v>0</x:v>
      </x:c>
      <x:c r="D284" s="48" t="b">
        <x:v>0</x:v>
      </x:c>
    </x:row>
    <x:row r="285">
      <x:c r="C285" s="48" t="b">
        <x:v>0</x:v>
      </x:c>
      <x:c r="D285" s="48" t="b">
        <x:v>0</x:v>
      </x:c>
    </x:row>
    <x:row r="286">
      <x:c r="C286" s="48" t="b">
        <x:v>0</x:v>
      </x:c>
      <x:c r="D286" s="48" t="b">
        <x:v>0</x:v>
      </x:c>
    </x:row>
    <x:row r="287">
      <x:c r="C287" s="48" t="b">
        <x:v>0</x:v>
      </x:c>
      <x:c r="D287" s="48" t="b">
        <x:v>0</x:v>
      </x:c>
    </x:row>
    <x:row r="288">
      <x:c r="C288" s="48" t="b">
        <x:v>0</x:v>
      </x:c>
      <x:c r="D288" s="48" t="b">
        <x:v>0</x:v>
      </x:c>
    </x:row>
    <x:row r="289">
      <x:c r="C289" s="48" t="b">
        <x:v>0</x:v>
      </x:c>
      <x:c r="D289" s="48" t="b">
        <x:v>0</x:v>
      </x:c>
    </x:row>
    <x:row r="290">
      <x:c r="C290" s="48" t="b">
        <x:v>0</x:v>
      </x:c>
      <x:c r="D290" s="48" t="b">
        <x:v>0</x:v>
      </x:c>
    </x:row>
    <x:row r="291">
      <x:c r="C291" s="48" t="b">
        <x:v>0</x:v>
      </x:c>
      <x:c r="D291" s="48" t="b">
        <x:v>0</x:v>
      </x:c>
    </x:row>
    <x:row r="292">
      <x:c r="C292" s="48" t="b">
        <x:v>0</x:v>
      </x:c>
      <x:c r="D292" s="48" t="b">
        <x:v>0</x:v>
      </x:c>
    </x:row>
    <x:row r="293">
      <x:c r="C293" s="48" t="b">
        <x:v>0</x:v>
      </x:c>
      <x:c r="D293" s="48" t="b">
        <x:v>0</x:v>
      </x:c>
    </x:row>
    <x:row r="294">
      <x:c r="C294" s="48" t="b">
        <x:v>0</x:v>
      </x:c>
      <x:c r="D294" s="48" t="b">
        <x:v>0</x:v>
      </x:c>
    </x:row>
    <x:row r="295">
      <x:c r="C295" s="48" t="b">
        <x:v>0</x:v>
      </x:c>
      <x:c r="D295" s="48" t="b">
        <x:v>0</x:v>
      </x:c>
    </x:row>
    <x:row r="296">
      <x:c r="C296" s="48" t="b">
        <x:v>0</x:v>
      </x:c>
      <x:c r="D296" s="48" t="b">
        <x:v>0</x:v>
      </x:c>
    </x:row>
    <x:row r="297">
      <x:c r="C297" s="48" t="b">
        <x:v>0</x:v>
      </x:c>
      <x:c r="D297" s="48" t="b">
        <x:v>0</x:v>
      </x:c>
    </x:row>
    <x:row r="298">
      <x:c r="C298" s="48" t="b">
        <x:v>0</x:v>
      </x:c>
      <x:c r="D298" s="48" t="b">
        <x:v>0</x:v>
      </x:c>
    </x:row>
    <x:row r="299">
      <x:c r="C299" s="48" t="b">
        <x:v>0</x:v>
      </x:c>
      <x:c r="D299" s="48" t="b">
        <x:v>0</x:v>
      </x:c>
    </x:row>
    <x:row r="300">
      <x:c r="C300" s="48" t="b">
        <x:v>0</x:v>
      </x:c>
      <x:c r="D300" s="48" t="b">
        <x:v>0</x:v>
      </x:c>
    </x:row>
    <x:row r="301">
      <x:c r="C301" s="48" t="b">
        <x:v>0</x:v>
      </x:c>
      <x:c r="D301" s="48" t="b">
        <x:v>0</x:v>
      </x:c>
    </x:row>
    <x:row r="302">
      <x:c r="C302" s="48" t="b">
        <x:v>0</x:v>
      </x:c>
      <x:c r="D302" s="48" t="b">
        <x:v>0</x:v>
      </x:c>
    </x:row>
    <x:row r="303">
      <x:c r="C303" s="48" t="b">
        <x:v>0</x:v>
      </x:c>
      <x:c r="D303" s="48" t="b">
        <x:v>0</x:v>
      </x:c>
    </x:row>
    <x:row r="304">
      <x:c r="C304" s="48" t="b">
        <x:v>0</x:v>
      </x:c>
      <x:c r="D304" s="48" t="b">
        <x:v>0</x:v>
      </x:c>
    </x:row>
    <x:row r="305">
      <x:c r="C305" s="48" t="b">
        <x:v>0</x:v>
      </x:c>
      <x:c r="D305" s="48" t="b">
        <x:v>0</x:v>
      </x:c>
    </x:row>
    <x:row r="306">
      <x:c r="C306" s="48" t="b">
        <x:v>0</x:v>
      </x:c>
      <x:c r="D306" s="48" t="b">
        <x:v>0</x:v>
      </x:c>
    </x:row>
    <x:row r="307">
      <x:c r="C307" s="48" t="b">
        <x:v>0</x:v>
      </x:c>
      <x:c r="D307" s="48" t="b">
        <x:v>0</x:v>
      </x:c>
    </x:row>
    <x:row r="308">
      <x:c r="C308" s="48" t="b">
        <x:v>0</x:v>
      </x:c>
      <x:c r="D308" s="48" t="b">
        <x:v>0</x:v>
      </x:c>
    </x:row>
    <x:row r="309">
      <x:c r="C309" s="48" t="b">
        <x:v>0</x:v>
      </x:c>
      <x:c r="D309" s="48" t="b">
        <x:v>0</x:v>
      </x:c>
    </x:row>
    <x:row r="310">
      <x:c r="C310" s="48" t="b">
        <x:v>0</x:v>
      </x:c>
      <x:c r="D310" s="48" t="b">
        <x:v>0</x:v>
      </x:c>
    </x:row>
    <x:row r="311">
      <x:c r="C311" s="48" t="b">
        <x:v>0</x:v>
      </x:c>
      <x:c r="D311" s="48" t="b">
        <x:v>0</x:v>
      </x:c>
    </x:row>
    <x:row r="312">
      <x:c r="C312" s="48" t="b">
        <x:v>0</x:v>
      </x:c>
      <x:c r="D312" s="48" t="b">
        <x:v>0</x:v>
      </x:c>
    </x:row>
    <x:row r="313">
      <x:c r="C313" s="48" t="b">
        <x:v>0</x:v>
      </x:c>
      <x:c r="D313" s="48" t="b">
        <x:v>0</x:v>
      </x:c>
    </x:row>
    <x:row r="314">
      <x:c r="C314" s="48" t="b">
        <x:v>0</x:v>
      </x:c>
      <x:c r="D314" s="48" t="b">
        <x:v>0</x:v>
      </x:c>
    </x:row>
    <x:row r="315">
      <x:c r="C315" s="48" t="b">
        <x:v>0</x:v>
      </x:c>
      <x:c r="D315" s="48" t="b">
        <x:v>0</x:v>
      </x:c>
    </x:row>
    <x:row r="316">
      <x:c r="C316" s="48" t="b">
        <x:v>0</x:v>
      </x:c>
      <x:c r="D316" s="48" t="b">
        <x:v>0</x:v>
      </x:c>
    </x:row>
    <x:row r="317">
      <x:c r="C317" s="48" t="b">
        <x:v>0</x:v>
      </x:c>
      <x:c r="D317" s="48" t="b">
        <x:v>0</x:v>
      </x:c>
    </x:row>
    <x:row r="318">
      <x:c r="C318" s="48" t="b">
        <x:v>0</x:v>
      </x:c>
      <x:c r="D318" s="48" t="b">
        <x:v>0</x:v>
      </x:c>
    </x:row>
    <x:row r="319">
      <x:c r="C319" s="48" t="b">
        <x:v>0</x:v>
      </x:c>
      <x:c r="D319" s="48" t="b">
        <x:v>0</x:v>
      </x:c>
    </x:row>
    <x:row r="320">
      <x:c r="C320" s="48" t="b">
        <x:v>0</x:v>
      </x:c>
      <x:c r="D320" s="48" t="b">
        <x:v>0</x:v>
      </x:c>
    </x:row>
    <x:row r="321">
      <x:c r="C321" s="48" t="b">
        <x:v>0</x:v>
      </x:c>
      <x:c r="D321" s="48" t="b">
        <x:v>0</x:v>
      </x:c>
    </x:row>
    <x:row r="322">
      <x:c r="C322" s="48" t="b">
        <x:v>0</x:v>
      </x:c>
      <x:c r="D322" s="48" t="b">
        <x:v>0</x:v>
      </x:c>
    </x:row>
    <x:row r="323">
      <x:c r="C323" s="48" t="b">
        <x:v>0</x:v>
      </x:c>
      <x:c r="D323" s="48" t="b">
        <x:v>0</x:v>
      </x:c>
    </x:row>
    <x:row r="324">
      <x:c r="C324" s="48" t="b">
        <x:v>0</x:v>
      </x:c>
      <x:c r="D324" s="48" t="b">
        <x:v>0</x:v>
      </x:c>
    </x:row>
    <x:row r="325">
      <x:c r="C325" s="48" t="b">
        <x:v>0</x:v>
      </x:c>
      <x:c r="D325" s="48" t="b">
        <x:v>0</x:v>
      </x:c>
    </x:row>
    <x:row r="326">
      <x:c r="C326" s="48" t="b">
        <x:v>0</x:v>
      </x:c>
      <x:c r="D326" s="48" t="b">
        <x:v>0</x:v>
      </x:c>
    </x:row>
    <x:row r="327">
      <x:c r="C327" s="48" t="b">
        <x:v>0</x:v>
      </x:c>
      <x:c r="D327" s="48" t="b">
        <x:v>0</x:v>
      </x:c>
    </x:row>
    <x:row r="328">
      <x:c r="C328" s="48" t="b">
        <x:v>0</x:v>
      </x:c>
      <x:c r="D328" s="48" t="b">
        <x:v>0</x:v>
      </x:c>
    </x:row>
    <x:row r="329">
      <x:c r="C329" s="48" t="b">
        <x:v>0</x:v>
      </x:c>
      <x:c r="D329" s="48" t="b">
        <x:v>0</x:v>
      </x:c>
    </x:row>
    <x:row r="330">
      <x:c r="C330" s="48" t="b">
        <x:v>0</x:v>
      </x:c>
      <x:c r="D330" s="48" t="b">
        <x:v>0</x:v>
      </x:c>
    </x:row>
    <x:row r="331">
      <x:c r="C331" s="48" t="b">
        <x:v>0</x:v>
      </x:c>
      <x:c r="D331" s="48" t="b">
        <x:v>0</x:v>
      </x:c>
    </x:row>
    <x:row r="332">
      <x:c r="C332" s="48" t="b">
        <x:v>0</x:v>
      </x:c>
      <x:c r="D332" s="48" t="b">
        <x:v>0</x:v>
      </x:c>
    </x:row>
    <x:row r="333">
      <x:c r="C333" s="48" t="b">
        <x:v>0</x:v>
      </x:c>
      <x:c r="D333" s="48" t="b">
        <x:v>0</x:v>
      </x:c>
    </x:row>
    <x:row r="334">
      <x:c r="C334" s="48" t="b">
        <x:v>0</x:v>
      </x:c>
      <x:c r="D334" s="48" t="b">
        <x:v>0</x:v>
      </x:c>
    </x:row>
    <x:row r="335">
      <x:c r="C335" s="48" t="b">
        <x:v>0</x:v>
      </x:c>
      <x:c r="D335" s="48" t="b">
        <x:v>0</x:v>
      </x:c>
    </x:row>
    <x:row r="336">
      <x:c r="C336" s="48" t="b">
        <x:v>0</x:v>
      </x:c>
      <x:c r="D336" s="48" t="b">
        <x:v>0</x:v>
      </x:c>
    </x:row>
    <x:row r="337">
      <x:c r="C337" s="48" t="b">
        <x:v>0</x:v>
      </x:c>
      <x:c r="D337" s="48" t="b">
        <x:v>0</x:v>
      </x:c>
    </x:row>
    <x:row r="338">
      <x:c r="C338" s="48" t="b">
        <x:v>0</x:v>
      </x:c>
      <x:c r="D338" s="48" t="b">
        <x:v>0</x:v>
      </x:c>
    </x:row>
    <x:row r="339">
      <x:c r="C339" s="48" t="b">
        <x:v>0</x:v>
      </x:c>
      <x:c r="D339" s="48" t="b">
        <x:v>0</x:v>
      </x:c>
    </x:row>
    <x:row r="340">
      <x:c r="C340" s="48" t="b">
        <x:v>0</x:v>
      </x:c>
      <x:c r="D340" s="48" t="b">
        <x:v>0</x:v>
      </x:c>
    </x:row>
    <x:row r="341">
      <x:c r="C341" s="48" t="b">
        <x:v>0</x:v>
      </x:c>
      <x:c r="D341" s="48" t="b">
        <x:v>0</x:v>
      </x:c>
    </x:row>
    <x:row r="342">
      <x:c r="C342" s="48" t="b">
        <x:v>0</x:v>
      </x:c>
      <x:c r="D342" s="48" t="b">
        <x:v>0</x:v>
      </x:c>
    </x:row>
    <x:row r="343">
      <x:c r="C343" s="48" t="b">
        <x:v>0</x:v>
      </x:c>
      <x:c r="D343" s="48" t="b">
        <x:v>0</x:v>
      </x:c>
    </x:row>
    <x:row r="344">
      <x:c r="C344" s="48" t="b">
        <x:v>0</x:v>
      </x:c>
      <x:c r="D344" s="48" t="b">
        <x:v>0</x:v>
      </x:c>
    </x:row>
    <x:row r="345">
      <x:c r="C345" s="48" t="b">
        <x:v>0</x:v>
      </x:c>
      <x:c r="D345" s="48" t="b">
        <x:v>0</x:v>
      </x:c>
    </x:row>
    <x:row r="346">
      <x:c r="C346" s="48" t="b">
        <x:v>0</x:v>
      </x:c>
      <x:c r="D346" s="48" t="b">
        <x:v>0</x:v>
      </x:c>
    </x:row>
    <x:row r="347">
      <x:c r="C347" s="48" t="b">
        <x:v>0</x:v>
      </x:c>
      <x:c r="D347" s="48" t="b">
        <x:v>0</x:v>
      </x:c>
    </x:row>
    <x:row r="348">
      <x:c r="C348" s="48" t="b">
        <x:v>0</x:v>
      </x:c>
      <x:c r="D348" s="48" t="b">
        <x:v>0</x:v>
      </x:c>
    </x:row>
    <x:row r="349">
      <x:c r="C349" s="48" t="b">
        <x:v>0</x:v>
      </x:c>
      <x:c r="D349" s="48" t="b">
        <x:v>0</x:v>
      </x:c>
    </x:row>
    <x:row r="350">
      <x:c r="C350" s="48" t="b">
        <x:v>0</x:v>
      </x:c>
      <x:c r="D350" s="48" t="b">
        <x:v>0</x:v>
      </x:c>
    </x:row>
    <x:row r="351">
      <x:c r="C351" s="48" t="b">
        <x:v>0</x:v>
      </x:c>
      <x:c r="D351" s="48" t="b">
        <x:v>0</x:v>
      </x:c>
    </x:row>
    <x:row r="352">
      <x:c r="C352" s="48" t="b">
        <x:v>0</x:v>
      </x:c>
      <x:c r="D352" s="48" t="b">
        <x:v>0</x:v>
      </x:c>
    </x:row>
    <x:row r="353">
      <x:c r="C353" s="48" t="b">
        <x:v>0</x:v>
      </x:c>
      <x:c r="D353" s="48" t="b">
        <x:v>0</x:v>
      </x:c>
    </x:row>
    <x:row r="354">
      <x:c r="C354" s="48" t="b">
        <x:v>0</x:v>
      </x:c>
      <x:c r="D354" s="48" t="b">
        <x:v>0</x:v>
      </x:c>
    </x:row>
    <x:row r="355">
      <x:c r="C355" s="48" t="b">
        <x:v>0</x:v>
      </x:c>
      <x:c r="D355" s="48" t="b">
        <x:v>0</x:v>
      </x:c>
    </x:row>
    <x:row r="356">
      <x:c r="C356" s="48" t="b">
        <x:v>0</x:v>
      </x:c>
      <x:c r="D356" s="48" t="b">
        <x:v>0</x:v>
      </x:c>
    </x:row>
    <x:row r="357">
      <x:c r="C357" s="48" t="b">
        <x:v>0</x:v>
      </x:c>
      <x:c r="D357" s="48" t="b">
        <x:v>0</x:v>
      </x:c>
    </x:row>
    <x:row r="358">
      <x:c r="C358" s="48" t="b">
        <x:v>0</x:v>
      </x:c>
      <x:c r="D358" s="48" t="b">
        <x:v>0</x:v>
      </x:c>
    </x:row>
    <x:row r="359">
      <x:c r="C359" s="48" t="b">
        <x:v>0</x:v>
      </x:c>
      <x:c r="D359" s="48" t="b">
        <x:v>0</x:v>
      </x:c>
    </x:row>
    <x:row r="360">
      <x:c r="C360" s="48" t="b">
        <x:v>0</x:v>
      </x:c>
      <x:c r="D360" s="48" t="b">
        <x:v>0</x:v>
      </x:c>
    </x:row>
    <x:row r="361">
      <x:c r="C361" s="48" t="b">
        <x:v>0</x:v>
      </x:c>
      <x:c r="D361" s="48" t="b">
        <x:v>0</x:v>
      </x:c>
    </x:row>
    <x:row r="362">
      <x:c r="C362" s="48" t="b">
        <x:v>0</x:v>
      </x:c>
      <x:c r="D362" s="48" t="b">
        <x:v>0</x:v>
      </x:c>
    </x:row>
    <x:row r="363">
      <x:c r="C363" s="48" t="b">
        <x:v>0</x:v>
      </x:c>
      <x:c r="D363" s="48" t="b">
        <x:v>0</x:v>
      </x:c>
    </x:row>
    <x:row r="364">
      <x:c r="C364" s="48" t="b">
        <x:v>0</x:v>
      </x:c>
      <x:c r="D364" s="48" t="b">
        <x:v>0</x:v>
      </x:c>
    </x:row>
    <x:row r="365">
      <x:c r="C365" s="48" t="b">
        <x:v>0</x:v>
      </x:c>
      <x:c r="D365" s="48" t="b">
        <x:v>0</x:v>
      </x:c>
    </x:row>
    <x:row r="366">
      <x:c r="C366" s="48" t="b">
        <x:v>0</x:v>
      </x:c>
      <x:c r="D366" s="48" t="b">
        <x:v>0</x:v>
      </x:c>
    </x:row>
    <x:row r="367">
      <x:c r="C367" s="48" t="b">
        <x:v>0</x:v>
      </x:c>
      <x:c r="D367" s="48" t="b">
        <x:v>0</x:v>
      </x:c>
    </x:row>
    <x:row r="368">
      <x:c r="C368" s="48" t="b">
        <x:v>0</x:v>
      </x:c>
      <x:c r="D368" s="48" t="b">
        <x:v>0</x:v>
      </x:c>
    </x:row>
    <x:row r="369">
      <x:c r="C369" s="48" t="b">
        <x:v>0</x:v>
      </x:c>
      <x:c r="D369" s="48" t="b">
        <x:v>0</x:v>
      </x:c>
    </x:row>
    <x:row r="370">
      <x:c r="C370" s="48" t="b">
        <x:v>0</x:v>
      </x:c>
      <x:c r="D370" s="48" t="b">
        <x:v>0</x:v>
      </x:c>
    </x:row>
    <x:row r="371">
      <x:c r="C371" s="48" t="b">
        <x:v>0</x:v>
      </x:c>
      <x:c r="D371" s="48" t="b">
        <x:v>0</x:v>
      </x:c>
    </x:row>
    <x:row r="372">
      <x:c r="C372" s="48" t="b">
        <x:v>0</x:v>
      </x:c>
      <x:c r="D372" s="48" t="b">
        <x:v>0</x:v>
      </x:c>
    </x:row>
    <x:row r="373">
      <x:c r="C373" s="48" t="b">
        <x:v>0</x:v>
      </x:c>
      <x:c r="D373" s="48" t="b">
        <x:v>0</x:v>
      </x:c>
    </x:row>
    <x:row r="374">
      <x:c r="C374" s="48" t="b">
        <x:v>0</x:v>
      </x:c>
      <x:c r="D374" s="48" t="b">
        <x:v>0</x:v>
      </x:c>
    </x:row>
    <x:row r="375">
      <x:c r="C375" s="48" t="b">
        <x:v>0</x:v>
      </x:c>
      <x:c r="D375" s="48" t="b">
        <x:v>0</x:v>
      </x:c>
    </x:row>
    <x:row r="376">
      <x:c r="C376" s="48" t="b">
        <x:v>0</x:v>
      </x:c>
      <x:c r="D376" s="48" t="b">
        <x:v>0</x:v>
      </x:c>
    </x:row>
    <x:row r="377">
      <x:c r="C377" s="48" t="b">
        <x:v>0</x:v>
      </x:c>
      <x:c r="D377" s="48" t="b">
        <x:v>0</x:v>
      </x:c>
    </x:row>
    <x:row r="378">
      <x:c r="C378" s="48" t="b">
        <x:v>0</x:v>
      </x:c>
      <x:c r="D378" s="48" t="b">
        <x:v>0</x:v>
      </x:c>
    </x:row>
    <x:row r="379">
      <x:c r="C379" s="48" t="b">
        <x:v>0</x:v>
      </x:c>
      <x:c r="D379" s="48" t="b">
        <x:v>0</x:v>
      </x:c>
    </x:row>
    <x:row r="380">
      <x:c r="C380" s="48" t="b">
        <x:v>0</x:v>
      </x:c>
      <x:c r="D380" s="48" t="b">
        <x:v>0</x:v>
      </x:c>
    </x:row>
    <x:row r="381">
      <x:c r="C381" s="48" t="b">
        <x:v>0</x:v>
      </x:c>
      <x:c r="D381" s="48" t="b">
        <x:v>0</x:v>
      </x:c>
    </x:row>
    <x:row r="382">
      <x:c r="C382" s="48" t="b">
        <x:v>0</x:v>
      </x:c>
      <x:c r="D382" s="48" t="b">
        <x:v>0</x:v>
      </x:c>
    </x:row>
    <x:row r="383">
      <x:c r="C383" s="48" t="b">
        <x:v>0</x:v>
      </x:c>
      <x:c r="D383" s="48" t="b">
        <x:v>0</x:v>
      </x:c>
    </x:row>
    <x:row r="384">
      <x:c r="C384" s="48" t="b">
        <x:v>0</x:v>
      </x:c>
      <x:c r="D384" s="48" t="b">
        <x:v>0</x:v>
      </x:c>
    </x:row>
    <x:row r="385">
      <x:c r="C385" s="48" t="b">
        <x:v>0</x:v>
      </x:c>
      <x:c r="D385" s="48" t="b">
        <x:v>0</x:v>
      </x:c>
    </x:row>
    <x:row r="386">
      <x:c r="C386" s="48" t="b">
        <x:v>0</x:v>
      </x:c>
      <x:c r="D386" s="48" t="b">
        <x:v>0</x:v>
      </x:c>
    </x:row>
    <x:row r="387">
      <x:c r="C387" s="48" t="b">
        <x:v>0</x:v>
      </x:c>
      <x:c r="D387" s="48" t="b">
        <x:v>0</x:v>
      </x:c>
    </x:row>
    <x:row r="388">
      <x:c r="C388" s="48" t="b">
        <x:v>0</x:v>
      </x:c>
      <x:c r="D388" s="48" t="b">
        <x:v>0</x:v>
      </x:c>
    </x:row>
    <x:row r="389">
      <x:c r="C389" s="48" t="b">
        <x:v>0</x:v>
      </x:c>
      <x:c r="D389" s="48" t="b">
        <x:v>0</x:v>
      </x:c>
    </x:row>
    <x:row r="390">
      <x:c r="C390" s="48" t="b">
        <x:v>0</x:v>
      </x:c>
      <x:c r="D390" s="48" t="b">
        <x:v>0</x:v>
      </x:c>
    </x:row>
    <x:row r="391">
      <x:c r="C391" s="48" t="b">
        <x:v>0</x:v>
      </x:c>
      <x:c r="D391" s="48" t="b">
        <x:v>0</x:v>
      </x:c>
    </x:row>
    <x:row r="392">
      <x:c r="C392" s="48" t="b">
        <x:v>0</x:v>
      </x:c>
      <x:c r="D392" s="48" t="b">
        <x:v>0</x:v>
      </x:c>
    </x:row>
    <x:row r="393">
      <x:c r="C393" s="48" t="b">
        <x:v>0</x:v>
      </x:c>
      <x:c r="D393" s="48" t="b">
        <x:v>0</x:v>
      </x:c>
    </x:row>
    <x:row r="394">
      <x:c r="C394" s="48" t="b">
        <x:v>0</x:v>
      </x:c>
      <x:c r="D394" s="48" t="b">
        <x:v>0</x:v>
      </x:c>
    </x:row>
    <x:row r="395">
      <x:c r="C395" s="48" t="b">
        <x:v>0</x:v>
      </x:c>
      <x:c r="D395" s="48" t="b">
        <x:v>0</x:v>
      </x:c>
    </x:row>
    <x:row r="396">
      <x:c r="C396" s="48" t="b">
        <x:v>0</x:v>
      </x:c>
      <x:c r="D396" s="48" t="b">
        <x:v>0</x:v>
      </x:c>
    </x:row>
    <x:row r="397">
      <x:c r="C397" s="48" t="b">
        <x:v>0</x:v>
      </x:c>
      <x:c r="D397" s="48" t="b">
        <x:v>0</x:v>
      </x:c>
    </x:row>
    <x:row r="398">
      <x:c r="C398" s="48" t="b">
        <x:v>0</x:v>
      </x:c>
      <x:c r="D398" s="48" t="b">
        <x:v>0</x:v>
      </x:c>
    </x:row>
    <x:row r="399">
      <x:c r="C399" s="48" t="b">
        <x:v>0</x:v>
      </x:c>
      <x:c r="D399" s="48" t="b">
        <x:v>0</x:v>
      </x:c>
    </x:row>
    <x:row r="400">
      <x:c r="C400" s="48" t="b">
        <x:v>0</x:v>
      </x:c>
      <x:c r="D400" s="48" t="b">
        <x:v>0</x:v>
      </x:c>
    </x:row>
    <x:row r="401">
      <x:c r="C401" s="48" t="b">
        <x:v>0</x:v>
      </x:c>
      <x:c r="D401" s="48" t="b">
        <x:v>0</x:v>
      </x:c>
    </x:row>
    <x:row r="402">
      <x:c r="C402" s="48" t="b">
        <x:v>0</x:v>
      </x:c>
      <x:c r="D402" s="48" t="b">
        <x:v>0</x:v>
      </x:c>
    </x:row>
    <x:row r="403">
      <x:c r="C403" s="48" t="b">
        <x:v>0</x:v>
      </x:c>
      <x:c r="D403" s="48" t="b">
        <x:v>0</x:v>
      </x:c>
    </x:row>
    <x:row r="404">
      <x:c r="C404" s="48" t="b">
        <x:v>0</x:v>
      </x:c>
      <x:c r="D404" s="48" t="b">
        <x:v>0</x:v>
      </x:c>
    </x:row>
    <x:row r="405">
      <x:c r="C405" s="48" t="b">
        <x:v>0</x:v>
      </x:c>
      <x:c r="D405" s="48" t="b">
        <x:v>0</x:v>
      </x:c>
    </x:row>
    <x:row r="406">
      <x:c r="C406" s="48" t="b">
        <x:v>0</x:v>
      </x:c>
      <x:c r="D406" s="48" t="b">
        <x:v>0</x:v>
      </x:c>
    </x:row>
    <x:row r="407">
      <x:c r="C407" s="48" t="b">
        <x:v>0</x:v>
      </x:c>
      <x:c r="D407" s="48" t="b">
        <x:v>0</x:v>
      </x:c>
    </x:row>
    <x:row r="408">
      <x:c r="C408" s="48" t="b">
        <x:v>0</x:v>
      </x:c>
      <x:c r="D408" s="48" t="b">
        <x:v>0</x:v>
      </x:c>
    </x:row>
    <x:row r="409">
      <x:c r="C409" s="48" t="b">
        <x:v>0</x:v>
      </x:c>
      <x:c r="D409" s="48" t="b">
        <x:v>0</x:v>
      </x:c>
    </x:row>
    <x:row r="410">
      <x:c r="C410" s="48" t="b">
        <x:v>0</x:v>
      </x:c>
      <x:c r="D410" s="48" t="b">
        <x:v>0</x:v>
      </x:c>
    </x:row>
    <x:row r="411">
      <x:c r="C411" s="48" t="b">
        <x:v>0</x:v>
      </x:c>
      <x:c r="D411" s="48" t="b">
        <x:v>0</x:v>
      </x:c>
    </x:row>
    <x:row r="412">
      <x:c r="C412" s="48" t="b">
        <x:v>0</x:v>
      </x:c>
      <x:c r="D412" s="48" t="b">
        <x:v>0</x:v>
      </x:c>
    </x:row>
    <x:row r="413">
      <x:c r="C413" s="48" t="b">
        <x:v>0</x:v>
      </x:c>
      <x:c r="D413" s="48" t="b">
        <x:v>0</x:v>
      </x:c>
    </x:row>
    <x:row r="414">
      <x:c r="C414" s="48" t="b">
        <x:v>0</x:v>
      </x:c>
      <x:c r="D414" s="48" t="b">
        <x:v>0</x:v>
      </x:c>
    </x:row>
    <x:row r="415">
      <x:c r="C415" s="48" t="b">
        <x:v>0</x:v>
      </x:c>
      <x:c r="D415" s="48" t="b">
        <x:v>0</x:v>
      </x:c>
    </x:row>
    <x:row r="416">
      <x:c r="C416" s="48" t="b">
        <x:v>0</x:v>
      </x:c>
      <x:c r="D416" s="48" t="b">
        <x:v>0</x:v>
      </x:c>
    </x:row>
    <x:row r="417">
      <x:c r="C417" s="48" t="b">
        <x:v>0</x:v>
      </x:c>
      <x:c r="D417" s="48" t="b">
        <x:v>0</x:v>
      </x:c>
    </x:row>
    <x:row r="418">
      <x:c r="C418" s="48" t="b">
        <x:v>0</x:v>
      </x:c>
      <x:c r="D418" s="48" t="b">
        <x:v>0</x:v>
      </x:c>
    </x:row>
    <x:row r="419">
      <x:c r="C419" s="48" t="b">
        <x:v>0</x:v>
      </x:c>
      <x:c r="D419" s="48" t="b">
        <x:v>0</x:v>
      </x:c>
    </x:row>
    <x:row r="420">
      <x:c r="C420" s="48" t="b">
        <x:v>0</x:v>
      </x:c>
      <x:c r="D420" s="48" t="b">
        <x:v>0</x:v>
      </x:c>
    </x:row>
    <x:row r="421">
      <x:c r="C421" s="48" t="b">
        <x:v>0</x:v>
      </x:c>
      <x:c r="D421" s="48" t="b">
        <x:v>0</x:v>
      </x:c>
    </x:row>
    <x:row r="422">
      <x:c r="C422" s="48" t="b">
        <x:v>0</x:v>
      </x:c>
      <x:c r="D422" s="48" t="b">
        <x:v>0</x:v>
      </x:c>
    </x:row>
    <x:row r="423">
      <x:c r="C423" s="48" t="b">
        <x:v>0</x:v>
      </x:c>
      <x:c r="D423" s="48" t="b">
        <x:v>0</x:v>
      </x:c>
    </x:row>
    <x:row r="424">
      <x:c r="C424" s="48" t="b">
        <x:v>0</x:v>
      </x:c>
      <x:c r="D424" s="48" t="b">
        <x:v>0</x:v>
      </x:c>
    </x:row>
    <x:row r="425">
      <x:c r="C425" s="48" t="b">
        <x:v>0</x:v>
      </x:c>
      <x:c r="D425" s="48" t="b">
        <x:v>0</x:v>
      </x:c>
    </x:row>
    <x:row r="426">
      <x:c r="C426" s="48" t="b">
        <x:v>0</x:v>
      </x:c>
      <x:c r="D426" s="48" t="b">
        <x:v>0</x:v>
      </x:c>
    </x:row>
    <x:row r="427">
      <x:c r="C427" s="48" t="b">
        <x:v>0</x:v>
      </x:c>
      <x:c r="D427" s="48" t="b">
        <x:v>0</x:v>
      </x:c>
    </x:row>
    <x:row r="428">
      <x:c r="C428" s="48" t="b">
        <x:v>0</x:v>
      </x:c>
      <x:c r="D428" s="48" t="b">
        <x:v>0</x:v>
      </x:c>
    </x:row>
    <x:row r="429">
      <x:c r="C429" s="48" t="b">
        <x:v>0</x:v>
      </x:c>
      <x:c r="D429" s="48" t="b">
        <x:v>0</x:v>
      </x:c>
    </x:row>
    <x:row r="430">
      <x:c r="C430" s="48" t="b">
        <x:v>0</x:v>
      </x:c>
      <x:c r="D430" s="48" t="b">
        <x:v>0</x:v>
      </x:c>
    </x:row>
    <x:row r="431">
      <x:c r="C431" s="48" t="b">
        <x:v>0</x:v>
      </x:c>
      <x:c r="D431" s="48" t="b">
        <x:v>0</x:v>
      </x:c>
    </x:row>
    <x:row r="432">
      <x:c r="C432" s="48" t="b">
        <x:v>0</x:v>
      </x:c>
      <x:c r="D432" s="48" t="b">
        <x:v>0</x:v>
      </x:c>
    </x:row>
    <x:row r="433">
      <x:c r="C433" s="48" t="b">
        <x:v>0</x:v>
      </x:c>
      <x:c r="D433" s="48" t="b">
        <x:v>0</x:v>
      </x:c>
    </x:row>
    <x:row r="434">
      <x:c r="C434" s="48" t="b">
        <x:v>0</x:v>
      </x:c>
      <x:c r="D434" s="48" t="b">
        <x:v>0</x:v>
      </x:c>
    </x:row>
    <x:row r="435">
      <x:c r="C435" s="48" t="b">
        <x:v>0</x:v>
      </x:c>
      <x:c r="D435" s="48" t="b">
        <x:v>0</x:v>
      </x:c>
    </x:row>
    <x:row r="436">
      <x:c r="C436" s="48" t="b">
        <x:v>0</x:v>
      </x:c>
      <x:c r="D436" s="48" t="b">
        <x:v>0</x:v>
      </x:c>
    </x:row>
    <x:row r="437">
      <x:c r="C437" s="48" t="b">
        <x:v>0</x:v>
      </x:c>
      <x:c r="D437" s="48" t="b">
        <x:v>0</x:v>
      </x:c>
    </x:row>
    <x:row r="438">
      <x:c r="C438" s="48" t="b">
        <x:v>0</x:v>
      </x:c>
      <x:c r="D438" s="48" t="b">
        <x:v>0</x:v>
      </x:c>
    </x:row>
    <x:row r="439">
      <x:c r="C439" s="48" t="b">
        <x:v>0</x:v>
      </x:c>
      <x:c r="D439" s="48" t="b">
        <x:v>0</x:v>
      </x:c>
    </x:row>
    <x:row r="440">
      <x:c r="C440" s="48" t="b">
        <x:v>0</x:v>
      </x:c>
      <x:c r="D440" s="48" t="b">
        <x:v>0</x:v>
      </x:c>
    </x:row>
    <x:row r="441">
      <x:c r="C441" s="48" t="b">
        <x:v>0</x:v>
      </x:c>
      <x:c r="D441" s="48" t="b">
        <x:v>0</x:v>
      </x:c>
    </x:row>
    <x:row r="442">
      <x:c r="C442" s="48" t="b">
        <x:v>0</x:v>
      </x:c>
      <x:c r="D442" s="48" t="b">
        <x:v>0</x:v>
      </x:c>
    </x:row>
    <x:row r="443">
      <x:c r="C443" s="48" t="b">
        <x:v>0</x:v>
      </x:c>
      <x:c r="D443" s="48" t="b">
        <x:v>0</x:v>
      </x:c>
    </x:row>
    <x:row r="444">
      <x:c r="C444" s="48" t="b">
        <x:v>0</x:v>
      </x:c>
      <x:c r="D444" s="48" t="b">
        <x:v>0</x:v>
      </x:c>
    </x:row>
    <x:row r="445">
      <x:c r="C445" s="48" t="b">
        <x:v>0</x:v>
      </x:c>
      <x:c r="D445" s="48" t="b">
        <x:v>0</x:v>
      </x:c>
    </x:row>
    <x:row r="446">
      <x:c r="C446" s="48" t="b">
        <x:v>0</x:v>
      </x:c>
      <x:c r="D446" s="48" t="b">
        <x:v>0</x:v>
      </x:c>
    </x:row>
    <x:row r="447">
      <x:c r="C447" s="48" t="b">
        <x:v>0</x:v>
      </x:c>
      <x:c r="D447" s="48" t="b">
        <x:v>0</x:v>
      </x:c>
    </x:row>
    <x:row r="448">
      <x:c r="C448" s="48" t="b">
        <x:v>0</x:v>
      </x:c>
      <x:c r="D448" s="48" t="b">
        <x:v>0</x:v>
      </x:c>
    </x:row>
    <x:row r="449">
      <x:c r="C449" s="48" t="b">
        <x:v>0</x:v>
      </x:c>
      <x:c r="D449" s="48" t="b">
        <x:v>0</x:v>
      </x:c>
    </x:row>
    <x:row r="450">
      <x:c r="C450" s="48" t="b">
        <x:v>0</x:v>
      </x:c>
      <x:c r="D450" s="48" t="b">
        <x:v>0</x:v>
      </x:c>
    </x:row>
    <x:row r="451">
      <x:c r="C451" s="48" t="b">
        <x:v>0</x:v>
      </x:c>
      <x:c r="D451" s="48" t="b">
        <x:v>0</x:v>
      </x:c>
    </x:row>
    <x:row r="452">
      <x:c r="C452" s="48" t="b">
        <x:v>0</x:v>
      </x:c>
      <x:c r="D452" s="48" t="b">
        <x:v>0</x:v>
      </x:c>
    </x:row>
    <x:row r="453">
      <x:c r="C453" s="48" t="b">
        <x:v>0</x:v>
      </x:c>
      <x:c r="D453" s="48" t="b">
        <x:v>0</x:v>
      </x:c>
    </x:row>
    <x:row r="454">
      <x:c r="C454" s="48" t="b">
        <x:v>0</x:v>
      </x:c>
      <x:c r="D454" s="48" t="b">
        <x:v>0</x:v>
      </x:c>
    </x:row>
    <x:row r="455">
      <x:c r="C455" s="48" t="b">
        <x:v>0</x:v>
      </x:c>
      <x:c r="D455" s="48" t="b">
        <x:v>0</x:v>
      </x:c>
    </x:row>
    <x:row r="456">
      <x:c r="C456" s="48" t="b">
        <x:v>0</x:v>
      </x:c>
      <x:c r="D456" s="48" t="b">
        <x:v>0</x:v>
      </x:c>
    </x:row>
    <x:row r="457">
      <x:c r="C457" s="48" t="b">
        <x:v>0</x:v>
      </x:c>
      <x:c r="D457" s="48" t="b">
        <x:v>0</x:v>
      </x:c>
    </x:row>
    <x:row r="458">
      <x:c r="C458" s="48" t="b">
        <x:v>0</x:v>
      </x:c>
      <x:c r="D458" s="48" t="b">
        <x:v>0</x:v>
      </x:c>
    </x:row>
    <x:row r="459">
      <x:c r="C459" s="48" t="b">
        <x:v>0</x:v>
      </x:c>
      <x:c r="D459" s="48" t="b">
        <x:v>0</x:v>
      </x:c>
    </x:row>
    <x:row r="460">
      <x:c r="C460" s="48" t="b">
        <x:v>0</x:v>
      </x:c>
      <x:c r="D460" s="48" t="b">
        <x:v>0</x:v>
      </x:c>
    </x:row>
    <x:row r="461">
      <x:c r="C461" s="48" t="b">
        <x:v>0</x:v>
      </x:c>
      <x:c r="D461" s="48" t="b">
        <x:v>0</x:v>
      </x:c>
    </x:row>
    <x:row r="462">
      <x:c r="C462" s="48" t="b">
        <x:v>0</x:v>
      </x:c>
      <x:c r="D462" s="48" t="b">
        <x:v>0</x:v>
      </x:c>
    </x:row>
    <x:row r="463">
      <x:c r="C463" s="48" t="b">
        <x:v>0</x:v>
      </x:c>
      <x:c r="D463" s="48" t="b">
        <x:v>0</x:v>
      </x:c>
    </x:row>
    <x:row r="464">
      <x:c r="C464" s="48" t="b">
        <x:v>0</x:v>
      </x:c>
      <x:c r="D464" s="48" t="b">
        <x:v>0</x:v>
      </x:c>
    </x:row>
    <x:row r="465">
      <x:c r="C465" s="48" t="b">
        <x:v>0</x:v>
      </x:c>
      <x:c r="D465" s="48" t="b">
        <x:v>0</x:v>
      </x:c>
    </x:row>
    <x:row r="466">
      <x:c r="C466" s="48" t="b">
        <x:v>0</x:v>
      </x:c>
      <x:c r="D466" s="48" t="b">
        <x:v>0</x:v>
      </x:c>
    </x:row>
    <x:row r="467">
      <x:c r="C467" s="48" t="b">
        <x:v>0</x:v>
      </x:c>
      <x:c r="D467" s="48" t="b">
        <x:v>0</x:v>
      </x:c>
    </x:row>
    <x:row r="468">
      <x:c r="C468" s="48" t="b">
        <x:v>0</x:v>
      </x:c>
      <x:c r="D468" s="48" t="b">
        <x:v>0</x:v>
      </x:c>
    </x:row>
    <x:row r="469">
      <x:c r="C469" s="48" t="b">
        <x:v>0</x:v>
      </x:c>
      <x:c r="D469" s="48" t="b">
        <x:v>0</x:v>
      </x:c>
    </x:row>
    <x:row r="470">
      <x:c r="C470" s="48" t="b">
        <x:v>0</x:v>
      </x:c>
      <x:c r="D470" s="48" t="b">
        <x:v>0</x:v>
      </x:c>
    </x:row>
    <x:row r="471">
      <x:c r="C471" s="48" t="b">
        <x:v>0</x:v>
      </x:c>
      <x:c r="D471" s="48" t="b">
        <x:v>0</x:v>
      </x:c>
    </x:row>
    <x:row r="472">
      <x:c r="C472" s="48" t="b">
        <x:v>0</x:v>
      </x:c>
      <x:c r="D472" s="48" t="b">
        <x:v>0</x:v>
      </x:c>
    </x:row>
    <x:row r="473">
      <x:c r="C473" s="48" t="b">
        <x:v>0</x:v>
      </x:c>
      <x:c r="D473" s="48" t="b">
        <x:v>0</x:v>
      </x:c>
    </x:row>
    <x:row r="474">
      <x:c r="C474" s="48" t="b">
        <x:v>0</x:v>
      </x:c>
      <x:c r="D474" s="48" t="b">
        <x:v>0</x:v>
      </x:c>
    </x:row>
    <x:row r="475">
      <x:c r="C475" s="48" t="b">
        <x:v>0</x:v>
      </x:c>
      <x:c r="D475" s="48" t="b">
        <x:v>0</x:v>
      </x:c>
    </x:row>
    <x:row r="476">
      <x:c r="C476" s="48" t="b">
        <x:v>0</x:v>
      </x:c>
      <x:c r="D476" s="48" t="b">
        <x:v>0</x:v>
      </x:c>
    </x:row>
    <x:row r="477">
      <x:c r="C477" s="48" t="b">
        <x:v>0</x:v>
      </x:c>
      <x:c r="D477" s="48" t="b">
        <x:v>0</x:v>
      </x:c>
    </x:row>
    <x:row r="478">
      <x:c r="C478" s="48" t="b">
        <x:v>0</x:v>
      </x:c>
      <x:c r="D478" s="48" t="b">
        <x:v>0</x:v>
      </x:c>
    </x:row>
    <x:row r="479">
      <x:c r="C479" s="48" t="b">
        <x:v>0</x:v>
      </x:c>
      <x:c r="D479" s="48" t="b">
        <x:v>0</x:v>
      </x:c>
    </x:row>
    <x:row r="480">
      <x:c r="C480" s="48" t="b">
        <x:v>0</x:v>
      </x:c>
      <x:c r="D480" s="48" t="b">
        <x:v>0</x:v>
      </x:c>
    </x:row>
    <x:row r="481">
      <x:c r="C481" s="48" t="b">
        <x:v>0</x:v>
      </x:c>
      <x:c r="D481" s="48" t="b">
        <x:v>0</x:v>
      </x:c>
    </x:row>
    <x:row r="482">
      <x:c r="C482" s="48" t="b">
        <x:v>0</x:v>
      </x:c>
      <x:c r="D482" s="48" t="b">
        <x:v>0</x:v>
      </x:c>
    </x:row>
    <x:row r="483">
      <x:c r="C483" s="48" t="b">
        <x:v>0</x:v>
      </x:c>
      <x:c r="D483" s="48" t="b">
        <x:v>0</x:v>
      </x:c>
    </x:row>
    <x:row r="484">
      <x:c r="C484" s="48" t="b">
        <x:v>0</x:v>
      </x:c>
      <x:c r="D484" s="48" t="b">
        <x:v>0</x:v>
      </x:c>
    </x:row>
    <x:row r="485">
      <x:c r="C485" s="48" t="b">
        <x:v>0</x:v>
      </x:c>
      <x:c r="D485" s="48" t="b">
        <x:v>0</x:v>
      </x:c>
    </x:row>
    <x:row r="486">
      <x:c r="C486" s="48" t="b">
        <x:v>0</x:v>
      </x:c>
      <x:c r="D486" s="48" t="b">
        <x:v>0</x:v>
      </x:c>
    </x:row>
    <x:row r="487">
      <x:c r="C487" s="48" t="b">
        <x:v>0</x:v>
      </x:c>
      <x:c r="D487" s="48" t="b">
        <x:v>0</x:v>
      </x:c>
    </x:row>
    <x:row r="488">
      <x:c r="C488" s="48" t="b">
        <x:v>0</x:v>
      </x:c>
      <x:c r="D488" s="48" t="b">
        <x:v>0</x:v>
      </x:c>
    </x:row>
    <x:row r="489">
      <x:c r="C489" s="48" t="b">
        <x:v>0</x:v>
      </x:c>
      <x:c r="D489" s="48" t="b">
        <x:v>0</x:v>
      </x:c>
    </x:row>
    <x:row r="490">
      <x:c r="C490" s="48" t="b">
        <x:v>0</x:v>
      </x:c>
      <x:c r="D490" s="48" t="b">
        <x:v>0</x:v>
      </x:c>
    </x:row>
    <x:row r="491">
      <x:c r="C491" s="48" t="b">
        <x:v>0</x:v>
      </x:c>
      <x:c r="D491" s="48" t="b">
        <x:v>0</x:v>
      </x:c>
    </x:row>
    <x:row r="492">
      <x:c r="C492" s="48" t="b">
        <x:v>0</x:v>
      </x:c>
      <x:c r="D492" s="48" t="b">
        <x:v>0</x:v>
      </x:c>
    </x:row>
    <x:row r="493">
      <x:c r="C493" s="48" t="b">
        <x:v>0</x:v>
      </x:c>
      <x:c r="D493" s="48" t="b">
        <x:v>0</x:v>
      </x:c>
    </x:row>
    <x:row r="494">
      <x:c r="C494" s="48" t="b">
        <x:v>0</x:v>
      </x:c>
      <x:c r="D494" s="48" t="b">
        <x:v>0</x:v>
      </x:c>
    </x:row>
    <x:row r="495">
      <x:c r="C495" s="48" t="b">
        <x:v>0</x:v>
      </x:c>
      <x:c r="D495" s="48" t="b">
        <x:v>0</x:v>
      </x:c>
    </x:row>
    <x:row r="496">
      <x:c r="C496" s="48" t="b">
        <x:v>0</x:v>
      </x:c>
      <x:c r="D496" s="48" t="b">
        <x:v>0</x:v>
      </x:c>
    </x:row>
    <x:row r="497">
      <x:c r="C497" s="48" t="b">
        <x:v>0</x:v>
      </x:c>
      <x:c r="D497" s="48" t="b">
        <x:v>0</x:v>
      </x:c>
    </x:row>
    <x:row r="498">
      <x:c r="C498" s="48" t="b">
        <x:v>0</x:v>
      </x:c>
      <x:c r="D498" s="48" t="b">
        <x:v>0</x:v>
      </x:c>
    </x:row>
    <x:row r="499">
      <x:c r="C499" s="48" t="b">
        <x:v>0</x:v>
      </x:c>
      <x:c r="D499" s="48" t="b">
        <x:v>0</x:v>
      </x:c>
    </x:row>
    <x:row r="500">
      <x:c r="C500" s="48" t="b">
        <x:v>0</x:v>
      </x:c>
      <x:c r="D500" s="48" t="b">
        <x:v>0</x:v>
      </x:c>
    </x:row>
    <x:row r="501">
      <x:c r="C501" s="48" t="b">
        <x:v>0</x:v>
      </x:c>
      <x:c r="D501" s="48" t="b">
        <x:v>0</x:v>
      </x:c>
    </x:row>
    <x:row r="502">
      <x:c r="C502" s="48" t="b">
        <x:v>0</x:v>
      </x:c>
      <x:c r="D502" s="48" t="b">
        <x:v>0</x:v>
      </x:c>
    </x:row>
    <x:row r="503">
      <x:c r="C503" s="48" t="b">
        <x:v>0</x:v>
      </x:c>
      <x:c r="D503" s="48" t="b">
        <x:v>0</x:v>
      </x:c>
    </x:row>
    <x:row r="504">
      <x:c r="C504" s="48" t="b">
        <x:v>0</x:v>
      </x:c>
      <x:c r="D504" s="48" t="b">
        <x:v>0</x:v>
      </x:c>
    </x:row>
    <x:row r="505">
      <x:c r="C505" s="48" t="b">
        <x:v>0</x:v>
      </x:c>
      <x:c r="D505" s="48" t="b">
        <x:v>0</x:v>
      </x:c>
    </x:row>
    <x:row r="506">
      <x:c r="C506" s="48" t="b">
        <x:v>0</x:v>
      </x:c>
      <x:c r="D506" s="48" t="b">
        <x:v>0</x:v>
      </x:c>
    </x:row>
    <x:row r="507">
      <x:c r="C507" s="48" t="b">
        <x:v>0</x:v>
      </x:c>
      <x:c r="D507" s="48" t="b">
        <x:v>0</x:v>
      </x:c>
    </x:row>
    <x:row r="508">
      <x:c r="C508" s="48" t="b">
        <x:v>0</x:v>
      </x:c>
      <x:c r="D508" s="48" t="b">
        <x:v>0</x:v>
      </x:c>
    </x:row>
    <x:row r="509">
      <x:c r="C509" s="48" t="b">
        <x:v>0</x:v>
      </x:c>
      <x:c r="D509" s="48" t="b">
        <x:v>0</x:v>
      </x:c>
    </x:row>
    <x:row r="510">
      <x:c r="C510" s="48" t="b">
        <x:v>0</x:v>
      </x:c>
      <x:c r="D510" s="48" t="b">
        <x:v>0</x:v>
      </x:c>
    </x:row>
    <x:row r="511">
      <x:c r="C511" s="48" t="b">
        <x:v>0</x:v>
      </x:c>
      <x:c r="D511" s="48" t="b">
        <x:v>0</x:v>
      </x:c>
    </x:row>
    <x:row r="512">
      <x:c r="C512" s="48" t="b">
        <x:v>0</x:v>
      </x:c>
      <x:c r="D512" s="48" t="b">
        <x:v>0</x:v>
      </x:c>
    </x:row>
    <x:row r="513">
      <x:c r="C513" s="48" t="b">
        <x:v>0</x:v>
      </x:c>
      <x:c r="D513" s="48" t="b">
        <x:v>0</x:v>
      </x:c>
    </x:row>
    <x:row r="514">
      <x:c r="C514" s="48" t="b">
        <x:v>0</x:v>
      </x:c>
      <x:c r="D514" s="48" t="b">
        <x:v>0</x:v>
      </x:c>
    </x:row>
    <x:row r="515">
      <x:c r="C515" s="48" t="b">
        <x:v>0</x:v>
      </x:c>
      <x:c r="D515" s="48" t="b">
        <x:v>0</x:v>
      </x:c>
    </x:row>
    <x:row r="516">
      <x:c r="C516" s="48" t="b">
        <x:v>0</x:v>
      </x:c>
      <x:c r="D516" s="48" t="b">
        <x:v>0</x:v>
      </x:c>
    </x:row>
    <x:row r="517">
      <x:c r="C517" s="48" t="b">
        <x:v>0</x:v>
      </x:c>
      <x:c r="D517" s="48" t="b">
        <x:v>0</x:v>
      </x:c>
    </x:row>
    <x:row r="518">
      <x:c r="C518" s="48" t="b">
        <x:v>0</x:v>
      </x:c>
      <x:c r="D518" s="48" t="b">
        <x:v>0</x:v>
      </x:c>
    </x:row>
    <x:row r="519">
      <x:c r="C519" s="48" t="b">
        <x:v>0</x:v>
      </x:c>
      <x:c r="D519" s="48" t="b">
        <x:v>0</x:v>
      </x:c>
    </x:row>
    <x:row r="520">
      <x:c r="C520" s="48" t="b">
        <x:v>0</x:v>
      </x:c>
      <x:c r="D520" s="48" t="b">
        <x:v>0</x:v>
      </x:c>
    </x:row>
    <x:row r="521">
      <x:c r="C521" s="48" t="b">
        <x:v>0</x:v>
      </x:c>
      <x:c r="D521" s="48" t="b">
        <x:v>0</x:v>
      </x:c>
    </x:row>
    <x:row r="522">
      <x:c r="C522" s="48" t="b">
        <x:v>0</x:v>
      </x:c>
      <x:c r="D522" s="48" t="b">
        <x:v>0</x:v>
      </x:c>
    </x:row>
    <x:row r="523">
      <x:c r="C523" s="48" t="b">
        <x:v>0</x:v>
      </x:c>
      <x:c r="D523" s="48" t="b">
        <x:v>0</x:v>
      </x:c>
    </x:row>
    <x:row r="524">
      <x:c r="C524" s="48" t="b">
        <x:v>0</x:v>
      </x:c>
      <x:c r="D524" s="48" t="b">
        <x:v>0</x:v>
      </x:c>
    </x:row>
    <x:row r="525">
      <x:c r="C525" s="48" t="b">
        <x:v>0</x:v>
      </x:c>
      <x:c r="D525" s="48" t="b">
        <x:v>0</x:v>
      </x:c>
    </x:row>
    <x:row r="526">
      <x:c r="C526" s="48" t="b">
        <x:v>0</x:v>
      </x:c>
      <x:c r="D526" s="48" t="b">
        <x:v>0</x:v>
      </x:c>
    </x:row>
    <x:row r="527">
      <x:c r="C527" s="48" t="b">
        <x:v>0</x:v>
      </x:c>
      <x:c r="D527" s="48" t="b">
        <x:v>0</x:v>
      </x:c>
    </x:row>
    <x:row r="528">
      <x:c r="C528" s="48" t="b">
        <x:v>0</x:v>
      </x:c>
      <x:c r="D528" s="48" t="b">
        <x:v>0</x:v>
      </x:c>
    </x:row>
    <x:row r="529">
      <x:c r="C529" s="48" t="b">
        <x:v>0</x:v>
      </x:c>
      <x:c r="D529" s="48" t="b">
        <x:v>0</x:v>
      </x:c>
    </x:row>
    <x:row r="530">
      <x:c r="C530" s="48" t="b">
        <x:v>0</x:v>
      </x:c>
      <x:c r="D530" s="48" t="b">
        <x:v>0</x:v>
      </x:c>
    </x:row>
    <x:row r="531">
      <x:c r="C531" s="48" t="b">
        <x:v>0</x:v>
      </x:c>
      <x:c r="D531" s="48" t="b">
        <x:v>0</x:v>
      </x:c>
    </x:row>
    <x:row r="532">
      <x:c r="C532" s="48" t="b">
        <x:v>0</x:v>
      </x:c>
      <x:c r="D532" s="48" t="b">
        <x:v>0</x:v>
      </x:c>
    </x:row>
    <x:row r="533">
      <x:c r="C533" s="48" t="b">
        <x:v>0</x:v>
      </x:c>
      <x:c r="D533" s="48" t="b">
        <x:v>0</x:v>
      </x:c>
    </x:row>
    <x:row r="534">
      <x:c r="C534" s="48" t="b">
        <x:v>0</x:v>
      </x:c>
      <x:c r="D534" s="48" t="b">
        <x:v>0</x:v>
      </x:c>
    </x:row>
    <x:row r="535">
      <x:c r="C535" s="48" t="b">
        <x:v>0</x:v>
      </x:c>
      <x:c r="D535" s="48" t="b">
        <x:v>0</x:v>
      </x:c>
    </x:row>
    <x:row r="536">
      <x:c r="C536" s="48" t="b">
        <x:v>0</x:v>
      </x:c>
      <x:c r="D536" s="48" t="b">
        <x:v>0</x:v>
      </x:c>
    </x:row>
    <x:row r="537">
      <x:c r="C537" s="48" t="b">
        <x:v>0</x:v>
      </x:c>
      <x:c r="D537" s="48" t="b">
        <x:v>0</x:v>
      </x:c>
    </x:row>
    <x:row r="538">
      <x:c r="C538" s="48" t="b">
        <x:v>0</x:v>
      </x:c>
      <x:c r="D538" s="48" t="b">
        <x:v>0</x:v>
      </x:c>
    </x:row>
    <x:row r="539">
      <x:c r="C539" s="48" t="b">
        <x:v>0</x:v>
      </x:c>
      <x:c r="D539" s="48" t="b">
        <x:v>0</x:v>
      </x:c>
    </x:row>
    <x:row r="540">
      <x:c r="C540" s="48" t="b">
        <x:v>0</x:v>
      </x:c>
      <x:c r="D540" s="48" t="b">
        <x:v>0</x:v>
      </x:c>
    </x:row>
    <x:row r="541">
      <x:c r="C541" s="48" t="b">
        <x:v>0</x:v>
      </x:c>
      <x:c r="D541" s="48" t="b">
        <x:v>0</x:v>
      </x:c>
    </x:row>
    <x:row r="542">
      <x:c r="C542" s="48" t="b">
        <x:v>0</x:v>
      </x:c>
      <x:c r="D542" s="48" t="b">
        <x:v>0</x:v>
      </x:c>
    </x:row>
    <x:row r="543">
      <x:c r="C543" s="48" t="b">
        <x:v>0</x:v>
      </x:c>
      <x:c r="D543" s="48" t="b">
        <x:v>0</x:v>
      </x:c>
    </x:row>
    <x:row r="544">
      <x:c r="C544" s="48" t="b">
        <x:v>0</x:v>
      </x:c>
      <x:c r="D544" s="48" t="b">
        <x:v>0</x:v>
      </x:c>
    </x:row>
    <x:row r="545">
      <x:c r="C545" s="48" t="b">
        <x:v>0</x:v>
      </x:c>
      <x:c r="D545" s="48" t="b">
        <x:v>0</x:v>
      </x:c>
    </x:row>
    <x:row r="546">
      <x:c r="C546" s="48" t="b">
        <x:v>0</x:v>
      </x:c>
      <x:c r="D546" s="48" t="b">
        <x:v>0</x:v>
      </x:c>
    </x:row>
    <x:row r="547">
      <x:c r="C547" s="48" t="b">
        <x:v>0</x:v>
      </x:c>
      <x:c r="D547" s="48" t="b">
        <x:v>0</x:v>
      </x:c>
    </x:row>
    <x:row r="548">
      <x:c r="C548" s="48" t="b">
        <x:v>0</x:v>
      </x:c>
      <x:c r="D548" s="48" t="b">
        <x:v>0</x:v>
      </x:c>
    </x:row>
    <x:row r="549">
      <x:c r="C549" s="48" t="b">
        <x:v>0</x:v>
      </x:c>
      <x:c r="D549" s="48" t="b">
        <x:v>0</x:v>
      </x:c>
    </x:row>
    <x:row r="550">
      <x:c r="C550" s="48" t="b">
        <x:v>0</x:v>
      </x:c>
      <x:c r="D550" s="48" t="b">
        <x:v>0</x:v>
      </x:c>
    </x:row>
    <x:row r="551">
      <x:c r="C551" s="48" t="b">
        <x:v>0</x:v>
      </x:c>
      <x:c r="D551" s="48" t="b">
        <x:v>0</x:v>
      </x:c>
    </x:row>
    <x:row r="552">
      <x:c r="C552" s="48" t="b">
        <x:v>0</x:v>
      </x:c>
      <x:c r="D552" s="48" t="b">
        <x:v>0</x:v>
      </x:c>
    </x:row>
    <x:row r="553">
      <x:c r="C553" s="48" t="b">
        <x:v>0</x:v>
      </x:c>
      <x:c r="D553" s="48" t="b">
        <x:v>0</x:v>
      </x:c>
    </x:row>
    <x:row r="554">
      <x:c r="C554" s="48" t="b">
        <x:v>0</x:v>
      </x:c>
      <x:c r="D554" s="48" t="b">
        <x:v>0</x:v>
      </x:c>
    </x:row>
    <x:row r="555">
      <x:c r="C555" s="48" t="b">
        <x:v>0</x:v>
      </x:c>
      <x:c r="D555" s="48" t="b">
        <x:v>0</x:v>
      </x:c>
    </x:row>
    <x:row r="556">
      <x:c r="C556" s="48" t="b">
        <x:v>0</x:v>
      </x:c>
      <x:c r="D556" s="48" t="b">
        <x:v>0</x:v>
      </x:c>
    </x:row>
    <x:row r="557">
      <x:c r="C557" s="48" t="b">
        <x:v>0</x:v>
      </x:c>
      <x:c r="D557" s="48" t="b">
        <x:v>0</x:v>
      </x:c>
    </x:row>
    <x:row r="558">
      <x:c r="C558" s="48" t="b">
        <x:v>0</x:v>
      </x:c>
      <x:c r="D558" s="48" t="b">
        <x:v>0</x:v>
      </x:c>
    </x:row>
    <x:row r="559">
      <x:c r="C559" s="48" t="b">
        <x:v>0</x:v>
      </x:c>
      <x:c r="D559" s="48" t="b">
        <x:v>0</x:v>
      </x:c>
    </x:row>
    <x:row r="560">
      <x:c r="C560" s="48" t="b">
        <x:v>0</x:v>
      </x:c>
      <x:c r="D560" s="48" t="b">
        <x:v>0</x:v>
      </x:c>
    </x:row>
    <x:row r="561">
      <x:c r="C561" s="48" t="b">
        <x:v>0</x:v>
      </x:c>
      <x:c r="D561" s="48" t="b">
        <x:v>0</x:v>
      </x:c>
    </x:row>
    <x:row r="562">
      <x:c r="C562" s="48" t="b">
        <x:v>0</x:v>
      </x:c>
      <x:c r="D562" s="48" t="b">
        <x:v>0</x:v>
      </x:c>
    </x:row>
    <x:row r="563">
      <x:c r="C563" s="48" t="b">
        <x:v>0</x:v>
      </x:c>
      <x:c r="D563" s="48" t="b">
        <x:v>0</x:v>
      </x:c>
    </x:row>
    <x:row r="564">
      <x:c r="C564" s="48" t="b">
        <x:v>0</x:v>
      </x:c>
      <x:c r="D564" s="48" t="b">
        <x:v>0</x:v>
      </x:c>
    </x:row>
    <x:row r="565">
      <x:c r="C565" s="48" t="b">
        <x:v>0</x:v>
      </x:c>
      <x:c r="D565" s="48" t="b">
        <x:v>0</x:v>
      </x:c>
    </x:row>
    <x:row r="566">
      <x:c r="C566" s="48" t="b">
        <x:v>0</x:v>
      </x:c>
      <x:c r="D566" s="48" t="b">
        <x:v>0</x:v>
      </x:c>
    </x:row>
    <x:row r="567">
      <x:c r="C567" s="48" t="b">
        <x:v>0</x:v>
      </x:c>
      <x:c r="D567" s="48" t="b">
        <x:v>0</x:v>
      </x:c>
    </x:row>
    <x:row r="568">
      <x:c r="C568" s="48" t="b">
        <x:v>0</x:v>
      </x:c>
      <x:c r="D568" s="48" t="b">
        <x:v>0</x:v>
      </x:c>
    </x:row>
    <x:row r="569">
      <x:c r="C569" s="48" t="b">
        <x:v>0</x:v>
      </x:c>
      <x:c r="D569" s="48" t="b">
        <x:v>0</x:v>
      </x:c>
    </x:row>
    <x:row r="570">
      <x:c r="C570" s="48" t="b">
        <x:v>0</x:v>
      </x:c>
      <x:c r="D570" s="48" t="b">
        <x:v>0</x:v>
      </x:c>
    </x:row>
    <x:row r="571">
      <x:c r="C571" s="48" t="b">
        <x:v>0</x:v>
      </x:c>
      <x:c r="D571" s="48" t="b">
        <x:v>0</x:v>
      </x:c>
    </x:row>
    <x:row r="572">
      <x:c r="C572" s="48" t="b">
        <x:v>0</x:v>
      </x:c>
      <x:c r="D572" s="48" t="b">
        <x:v>0</x:v>
      </x:c>
    </x:row>
    <x:row r="573">
      <x:c r="C573" s="48" t="b">
        <x:v>0</x:v>
      </x:c>
      <x:c r="D573" s="48" t="b">
        <x:v>0</x:v>
      </x:c>
    </x:row>
    <x:row r="574">
      <x:c r="C574" s="48" t="b">
        <x:v>0</x:v>
      </x:c>
      <x:c r="D574" s="48" t="b">
        <x:v>0</x:v>
      </x:c>
    </x:row>
    <x:row r="575">
      <x:c r="C575" s="48" t="b">
        <x:v>0</x:v>
      </x:c>
      <x:c r="D575" s="48" t="b">
        <x:v>0</x:v>
      </x:c>
    </x:row>
    <x:row r="576">
      <x:c r="C576" s="48" t="b">
        <x:v>0</x:v>
      </x:c>
      <x:c r="D576" s="48" t="b">
        <x:v>0</x:v>
      </x:c>
    </x:row>
    <x:row r="577">
      <x:c r="C577" s="48" t="b">
        <x:v>0</x:v>
      </x:c>
      <x:c r="D577" s="48" t="b">
        <x:v>0</x:v>
      </x:c>
    </x:row>
    <x:row r="578">
      <x:c r="C578" s="48" t="b">
        <x:v>0</x:v>
      </x:c>
      <x:c r="D578" s="48" t="b">
        <x:v>0</x:v>
      </x:c>
    </x:row>
    <x:row r="579">
      <x:c r="C579" s="48" t="b">
        <x:v>0</x:v>
      </x:c>
      <x:c r="D579" s="48" t="b">
        <x:v>0</x:v>
      </x:c>
    </x:row>
    <x:row r="580">
      <x:c r="C580" s="48" t="b">
        <x:v>0</x:v>
      </x:c>
      <x:c r="D580" s="48" t="b">
        <x:v>0</x:v>
      </x:c>
    </x:row>
    <x:row r="581">
      <x:c r="C581" s="48" t="b">
        <x:v>0</x:v>
      </x:c>
      <x:c r="D581" s="48" t="b">
        <x:v>0</x:v>
      </x:c>
    </x:row>
    <x:row r="582">
      <x:c r="C582" s="48" t="b">
        <x:v>0</x:v>
      </x:c>
      <x:c r="D582" s="48" t="b">
        <x:v>0</x:v>
      </x:c>
    </x:row>
    <x:row r="583">
      <x:c r="C583" s="48" t="b">
        <x:v>0</x:v>
      </x:c>
      <x:c r="D583" s="48" t="b">
        <x:v>0</x:v>
      </x:c>
    </x:row>
    <x:row r="584">
      <x:c r="C584" s="48" t="b">
        <x:v>0</x:v>
      </x:c>
      <x:c r="D584" s="48" t="b">
        <x:v>0</x:v>
      </x:c>
    </x:row>
    <x:row r="585">
      <x:c r="C585" s="48" t="b">
        <x:v>0</x:v>
      </x:c>
      <x:c r="D585" s="48" t="b">
        <x:v>0</x:v>
      </x:c>
    </x:row>
    <x:row r="586">
      <x:c r="C586" s="48" t="b">
        <x:v>0</x:v>
      </x:c>
      <x:c r="D586" s="48" t="b">
        <x:v>0</x:v>
      </x:c>
    </x:row>
    <x:row r="587">
      <x:c r="C587" s="48" t="b">
        <x:v>0</x:v>
      </x:c>
      <x:c r="D587" s="48" t="b">
        <x:v>0</x:v>
      </x:c>
    </x:row>
    <x:row r="588">
      <x:c r="C588" s="48" t="b">
        <x:v>0</x:v>
      </x:c>
      <x:c r="D588" s="48" t="b">
        <x:v>0</x:v>
      </x:c>
    </x:row>
    <x:row r="589">
      <x:c r="C589" s="48" t="b">
        <x:v>0</x:v>
      </x:c>
      <x:c r="D589" s="48" t="b">
        <x:v>0</x:v>
      </x:c>
    </x:row>
    <x:row r="590">
      <x:c r="C590" s="48" t="b">
        <x:v>0</x:v>
      </x:c>
      <x:c r="D590" s="48" t="b">
        <x:v>0</x:v>
      </x:c>
    </x:row>
    <x:row r="591">
      <x:c r="C591" s="48" t="b">
        <x:v>0</x:v>
      </x:c>
      <x:c r="D591" s="48" t="b">
        <x:v>0</x:v>
      </x:c>
    </x:row>
    <x:row r="592">
      <x:c r="C592" s="48" t="b">
        <x:v>0</x:v>
      </x:c>
      <x:c r="D592" s="48" t="b">
        <x:v>0</x:v>
      </x:c>
    </x:row>
    <x:row r="593">
      <x:c r="C593" s="48" t="b">
        <x:v>0</x:v>
      </x:c>
      <x:c r="D593" s="48" t="b">
        <x:v>0</x:v>
      </x:c>
    </x:row>
    <x:row r="594">
      <x:c r="C594" s="48" t="b">
        <x:v>0</x:v>
      </x:c>
      <x:c r="D594" s="48" t="b">
        <x:v>0</x:v>
      </x:c>
    </x:row>
    <x:row r="595">
      <x:c r="C595" s="48" t="b">
        <x:v>0</x:v>
      </x:c>
      <x:c r="D595" s="48" t="b">
        <x:v>0</x:v>
      </x:c>
    </x:row>
    <x:row r="596">
      <x:c r="C596" s="48" t="b">
        <x:v>0</x:v>
      </x:c>
      <x:c r="D596" s="48" t="b">
        <x:v>0</x:v>
      </x:c>
    </x:row>
    <x:row r="597">
      <x:c r="C597" s="48" t="b">
        <x:v>0</x:v>
      </x:c>
      <x:c r="D597" s="48" t="b">
        <x:v>0</x:v>
      </x:c>
    </x:row>
    <x:row r="598">
      <x:c r="C598" s="48" t="b">
        <x:v>0</x:v>
      </x:c>
      <x:c r="D598" s="48" t="b">
        <x:v>0</x:v>
      </x:c>
    </x:row>
    <x:row r="599">
      <x:c r="C599" s="48" t="b">
        <x:v>0</x:v>
      </x:c>
      <x:c r="D599" s="48" t="b">
        <x:v>0</x:v>
      </x:c>
    </x:row>
    <x:row r="600">
      <x:c r="C600" s="48" t="b">
        <x:v>0</x:v>
      </x:c>
      <x:c r="D600" s="48" t="b">
        <x:v>0</x:v>
      </x:c>
    </x:row>
    <x:row r="601">
      <x:c r="C601" s="48" t="b">
        <x:v>0</x:v>
      </x:c>
      <x:c r="D601" s="48" t="b">
        <x:v>0</x:v>
      </x:c>
    </x:row>
    <x:row r="602">
      <x:c r="C602" s="48" t="b">
        <x:v>0</x:v>
      </x:c>
      <x:c r="D602" s="48" t="b">
        <x:v>0</x:v>
      </x:c>
    </x:row>
    <x:row r="603">
      <x:c r="C603" s="48" t="b">
        <x:v>0</x:v>
      </x:c>
      <x:c r="D603" s="48" t="b">
        <x:v>0</x:v>
      </x:c>
    </x:row>
    <x:row r="604">
      <x:c r="C604" s="48" t="b">
        <x:v>0</x:v>
      </x:c>
      <x:c r="D604" s="48" t="b">
        <x:v>0</x:v>
      </x:c>
    </x:row>
    <x:row r="605">
      <x:c r="C605" s="48" t="b">
        <x:v>0</x:v>
      </x:c>
      <x:c r="D605" s="48" t="b">
        <x:v>0</x:v>
      </x:c>
    </x:row>
    <x:row r="606">
      <x:c r="C606" s="48" t="b">
        <x:v>0</x:v>
      </x:c>
      <x:c r="D606" s="48" t="b">
        <x:v>0</x:v>
      </x:c>
    </x:row>
    <x:row r="607">
      <x:c r="C607" s="48" t="b">
        <x:v>0</x:v>
      </x:c>
      <x:c r="D607" s="48" t="b">
        <x:v>0</x:v>
      </x:c>
    </x:row>
    <x:row r="608">
      <x:c r="C608" s="48" t="b">
        <x:v>0</x:v>
      </x:c>
      <x:c r="D608" s="48" t="b">
        <x:v>0</x:v>
      </x:c>
    </x:row>
    <x:row r="609">
      <x:c r="C609" s="48" t="b">
        <x:v>0</x:v>
      </x:c>
      <x:c r="D609" s="48" t="b">
        <x:v>0</x:v>
      </x:c>
    </x:row>
    <x:row r="610">
      <x:c r="C610" s="48" t="b">
        <x:v>0</x:v>
      </x:c>
      <x:c r="D610" s="48" t="b">
        <x:v>0</x:v>
      </x:c>
    </x:row>
    <x:row r="611">
      <x:c r="C611" s="48" t="b">
        <x:v>0</x:v>
      </x:c>
      <x:c r="D611" s="48" t="b">
        <x:v>0</x:v>
      </x:c>
    </x:row>
    <x:row r="612">
      <x:c r="C612" s="48" t="b">
        <x:v>0</x:v>
      </x:c>
      <x:c r="D612" s="48" t="b">
        <x:v>0</x:v>
      </x:c>
    </x:row>
    <x:row r="613">
      <x:c r="C613" s="48" t="b">
        <x:v>0</x:v>
      </x:c>
      <x:c r="D613" s="48" t="b">
        <x:v>0</x:v>
      </x:c>
    </x:row>
    <x:row r="614">
      <x:c r="C614" s="48" t="b">
        <x:v>0</x:v>
      </x:c>
      <x:c r="D614" s="48" t="b">
        <x:v>0</x:v>
      </x:c>
    </x:row>
    <x:row r="615">
      <x:c r="C615" s="48" t="b">
        <x:v>0</x:v>
      </x:c>
      <x:c r="D615" s="48" t="b">
        <x:v>0</x:v>
      </x:c>
    </x:row>
    <x:row r="616">
      <x:c r="C616" s="48" t="b">
        <x:v>0</x:v>
      </x:c>
      <x:c r="D616" s="48" t="b">
        <x:v>0</x:v>
      </x:c>
    </x:row>
    <x:row r="617">
      <x:c r="C617" s="48" t="b">
        <x:v>0</x:v>
      </x:c>
      <x:c r="D617" s="48" t="b">
        <x:v>0</x:v>
      </x:c>
    </x:row>
    <x:row r="618">
      <x:c r="C618" s="48" t="b">
        <x:v>0</x:v>
      </x:c>
      <x:c r="D618" s="48" t="b">
        <x:v>0</x:v>
      </x:c>
    </x:row>
    <x:row r="619">
      <x:c r="C619" s="48" t="b">
        <x:v>0</x:v>
      </x:c>
      <x:c r="D619" s="48" t="b">
        <x:v>0</x:v>
      </x:c>
    </x:row>
    <x:row r="620">
      <x:c r="C620" s="48" t="b">
        <x:v>0</x:v>
      </x:c>
      <x:c r="D620" s="48" t="b">
        <x:v>0</x:v>
      </x:c>
    </x:row>
    <x:row r="621">
      <x:c r="C621" s="48" t="b">
        <x:v>0</x:v>
      </x:c>
      <x:c r="D621" s="48" t="b">
        <x:v>0</x:v>
      </x:c>
    </x:row>
    <x:row r="622">
      <x:c r="C622" s="48" t="b">
        <x:v>0</x:v>
      </x:c>
      <x:c r="D622" s="48" t="b">
        <x:v>0</x:v>
      </x:c>
    </x:row>
    <x:row r="623">
      <x:c r="C623" s="48" t="b">
        <x:v>0</x:v>
      </x:c>
      <x:c r="D623" s="48" t="b">
        <x:v>0</x:v>
      </x:c>
    </x:row>
    <x:row r="624">
      <x:c r="C624" s="48" t="b">
        <x:v>0</x:v>
      </x:c>
      <x:c r="D624" s="48" t="b">
        <x:v>0</x:v>
      </x:c>
    </x:row>
    <x:row r="625">
      <x:c r="C625" s="48" t="b">
        <x:v>0</x:v>
      </x:c>
      <x:c r="D625" s="48" t="b">
        <x:v>0</x:v>
      </x:c>
    </x:row>
    <x:row r="626">
      <x:c r="C626" s="48" t="b">
        <x:v>0</x:v>
      </x:c>
      <x:c r="D626" s="48" t="b">
        <x:v>0</x:v>
      </x:c>
    </x:row>
    <x:row r="627">
      <x:c r="C627" s="48" t="b">
        <x:v>0</x:v>
      </x:c>
      <x:c r="D627" s="48" t="b">
        <x:v>0</x:v>
      </x:c>
    </x:row>
    <x:row r="628">
      <x:c r="C628" s="48" t="b">
        <x:v>0</x:v>
      </x:c>
      <x:c r="D628" s="48" t="b">
        <x:v>0</x:v>
      </x:c>
    </x:row>
    <x:row r="629">
      <x:c r="C629" s="48" t="b">
        <x:v>0</x:v>
      </x:c>
      <x:c r="D629" s="48" t="b">
        <x:v>0</x:v>
      </x:c>
    </x:row>
    <x:row r="630">
      <x:c r="C630" s="48" t="b">
        <x:v>0</x:v>
      </x:c>
      <x:c r="D630" s="48" t="b">
        <x:v>0</x:v>
      </x:c>
    </x:row>
    <x:row r="631">
      <x:c r="C631" s="48" t="b">
        <x:v>0</x:v>
      </x:c>
      <x:c r="D631" s="48" t="b">
        <x:v>0</x:v>
      </x:c>
    </x:row>
    <x:row r="632">
      <x:c r="C632" s="48" t="b">
        <x:v>0</x:v>
      </x:c>
      <x:c r="D632" s="48" t="b">
        <x:v>0</x:v>
      </x:c>
    </x:row>
    <x:row r="633">
      <x:c r="C633" s="48" t="b">
        <x:v>0</x:v>
      </x:c>
      <x:c r="D633" s="48" t="b">
        <x:v>0</x:v>
      </x:c>
    </x:row>
    <x:row r="634">
      <x:c r="C634" s="48" t="b">
        <x:v>0</x:v>
      </x:c>
      <x:c r="D634" s="48" t="b">
        <x:v>0</x:v>
      </x:c>
    </x:row>
    <x:row r="635">
      <x:c r="C635" s="48" t="b">
        <x:v>0</x:v>
      </x:c>
      <x:c r="D635" s="48" t="b">
        <x:v>0</x:v>
      </x:c>
    </x:row>
    <x:row r="636">
      <x:c r="C636" s="48" t="b">
        <x:v>0</x:v>
      </x:c>
      <x:c r="D636" s="48" t="b">
        <x:v>0</x:v>
      </x:c>
    </x:row>
    <x:row r="637">
      <x:c r="C637" s="48" t="b">
        <x:v>0</x:v>
      </x:c>
      <x:c r="D637" s="48" t="b">
        <x:v>0</x:v>
      </x:c>
    </x:row>
    <x:row r="638">
      <x:c r="C638" s="48" t="b">
        <x:v>0</x:v>
      </x:c>
      <x:c r="D638" s="48" t="b">
        <x:v>0</x:v>
      </x:c>
    </x:row>
    <x:row r="639">
      <x:c r="C639" s="48" t="b">
        <x:v>0</x:v>
      </x:c>
      <x:c r="D639" s="48" t="b">
        <x:v>0</x:v>
      </x:c>
    </x:row>
    <x:row r="640">
      <x:c r="C640" s="48" t="b">
        <x:v>0</x:v>
      </x:c>
      <x:c r="D640" s="48" t="b">
        <x:v>0</x:v>
      </x:c>
    </x:row>
    <x:row r="641">
      <x:c r="C641" s="48" t="b">
        <x:v>0</x:v>
      </x:c>
      <x:c r="D641" s="48" t="b">
        <x:v>0</x:v>
      </x:c>
    </x:row>
    <x:row r="642">
      <x:c r="C642" s="48" t="b">
        <x:v>0</x:v>
      </x:c>
      <x:c r="D642" s="48" t="b">
        <x:v>0</x:v>
      </x:c>
    </x:row>
    <x:row r="643">
      <x:c r="C643" s="48" t="b">
        <x:v>0</x:v>
      </x:c>
      <x:c r="D643" s="48" t="b">
        <x:v>0</x:v>
      </x:c>
    </x:row>
    <x:row r="644">
      <x:c r="C644" s="48" t="b">
        <x:v>0</x:v>
      </x:c>
      <x:c r="D644" s="48" t="b">
        <x:v>0</x:v>
      </x:c>
    </x:row>
    <x:row r="645">
      <x:c r="C645" s="48" t="b">
        <x:v>0</x:v>
      </x:c>
      <x:c r="D645" s="48" t="b">
        <x:v>0</x:v>
      </x:c>
    </x:row>
    <x:row r="646">
      <x:c r="C646" s="48" t="b">
        <x:v>0</x:v>
      </x:c>
      <x:c r="D646" s="48" t="b">
        <x:v>0</x:v>
      </x:c>
    </x:row>
    <x:row r="647">
      <x:c r="C647" s="48" t="b">
        <x:v>0</x:v>
      </x:c>
      <x:c r="D647" s="48" t="b">
        <x:v>0</x:v>
      </x:c>
    </x:row>
    <x:row r="648">
      <x:c r="C648" s="48" t="b">
        <x:v>0</x:v>
      </x:c>
      <x:c r="D648" s="48" t="b">
        <x:v>0</x:v>
      </x:c>
    </x:row>
    <x:row r="649">
      <x:c r="C649" s="48" t="b">
        <x:v>0</x:v>
      </x:c>
      <x:c r="D649" s="48" t="b">
        <x:v>0</x:v>
      </x:c>
    </x:row>
    <x:row r="650">
      <x:c r="C650" s="48" t="b">
        <x:v>0</x:v>
      </x:c>
      <x:c r="D650" s="48" t="b">
        <x:v>0</x:v>
      </x:c>
    </x:row>
    <x:row r="651">
      <x:c r="C651" s="48" t="b">
        <x:v>0</x:v>
      </x:c>
      <x:c r="D651" s="48" t="b">
        <x:v>0</x:v>
      </x:c>
    </x:row>
    <x:row r="652">
      <x:c r="C652" s="48" t="b">
        <x:v>0</x:v>
      </x:c>
      <x:c r="D652" s="48" t="b">
        <x:v>0</x:v>
      </x:c>
    </x:row>
    <x:row r="653">
      <x:c r="C653" s="48" t="b">
        <x:v>0</x:v>
      </x:c>
      <x:c r="D653" s="48" t="b">
        <x:v>0</x:v>
      </x:c>
    </x:row>
    <x:row r="654">
      <x:c r="C654" s="48" t="b">
        <x:v>0</x:v>
      </x:c>
      <x:c r="D654" s="48" t="b">
        <x:v>0</x:v>
      </x:c>
    </x:row>
    <x:row r="655">
      <x:c r="C655" s="48" t="b">
        <x:v>0</x:v>
      </x:c>
      <x:c r="D655" s="48" t="b">
        <x:v>0</x:v>
      </x:c>
    </x:row>
    <x:row r="656">
      <x:c r="C656" s="48" t="b">
        <x:v>0</x:v>
      </x:c>
      <x:c r="D656" s="48" t="b">
        <x:v>0</x:v>
      </x:c>
    </x:row>
    <x:row r="657">
      <x:c r="C657" s="48" t="b">
        <x:v>0</x:v>
      </x:c>
      <x:c r="D657" s="48" t="b">
        <x:v>0</x:v>
      </x:c>
    </x:row>
    <x:row r="658">
      <x:c r="C658" s="48" t="b">
        <x:v>0</x:v>
      </x:c>
      <x:c r="D658" s="48" t="b">
        <x:v>0</x:v>
      </x:c>
    </x:row>
    <x:row r="659">
      <x:c r="C659" s="48" t="b">
        <x:v>0</x:v>
      </x:c>
      <x:c r="D659" s="48" t="b">
        <x:v>0</x:v>
      </x:c>
    </x:row>
    <x:row r="660">
      <x:c r="C660" s="48" t="b">
        <x:v>0</x:v>
      </x:c>
      <x:c r="D660" s="48" t="b">
        <x:v>0</x:v>
      </x:c>
    </x:row>
    <x:row r="661">
      <x:c r="C661" s="48" t="b">
        <x:v>0</x:v>
      </x:c>
      <x:c r="D661" s="48" t="b">
        <x:v>0</x:v>
      </x:c>
    </x:row>
    <x:row r="662">
      <x:c r="C662" s="48" t="b">
        <x:v>0</x:v>
      </x:c>
      <x:c r="D662" s="48" t="b">
        <x:v>0</x:v>
      </x:c>
    </x:row>
    <x:row r="663">
      <x:c r="C663" s="48" t="b">
        <x:v>0</x:v>
      </x:c>
      <x:c r="D663" s="48" t="b">
        <x:v>0</x:v>
      </x:c>
    </x:row>
    <x:row r="664">
      <x:c r="C664" s="48" t="b">
        <x:v>0</x:v>
      </x:c>
      <x:c r="D664" s="48" t="b">
        <x:v>0</x:v>
      </x:c>
    </x:row>
    <x:row r="665">
      <x:c r="C665" s="48" t="b">
        <x:v>0</x:v>
      </x:c>
      <x:c r="D665" s="48" t="b">
        <x:v>0</x:v>
      </x:c>
    </x:row>
    <x:row r="666">
      <x:c r="C666" s="48" t="b">
        <x:v>0</x:v>
      </x:c>
      <x:c r="D666" s="48" t="b">
        <x:v>0</x:v>
      </x:c>
    </x:row>
    <x:row r="667">
      <x:c r="C667" s="48" t="b">
        <x:v>0</x:v>
      </x:c>
      <x:c r="D667" s="48" t="b">
        <x:v>0</x:v>
      </x:c>
    </x:row>
    <x:row r="668">
      <x:c r="C668" s="48" t="b">
        <x:v>0</x:v>
      </x:c>
      <x:c r="D668" s="48" t="b">
        <x:v>0</x:v>
      </x:c>
    </x:row>
    <x:row r="669">
      <x:c r="C669" s="48" t="b">
        <x:v>0</x:v>
      </x:c>
      <x:c r="D669" s="48" t="b">
        <x:v>0</x:v>
      </x:c>
    </x:row>
    <x:row r="670">
      <x:c r="C670" s="48" t="b">
        <x:v>0</x:v>
      </x:c>
      <x:c r="D670" s="48" t="b">
        <x:v>0</x:v>
      </x:c>
    </x:row>
    <x:row r="671">
      <x:c r="C671" s="48" t="b">
        <x:v>0</x:v>
      </x:c>
      <x:c r="D671" s="48" t="b">
        <x:v>0</x:v>
      </x:c>
    </x:row>
    <x:row r="672">
      <x:c r="C672" s="48" t="b">
        <x:v>0</x:v>
      </x:c>
      <x:c r="D672" s="48" t="b">
        <x:v>0</x:v>
      </x:c>
    </x:row>
    <x:row r="673">
      <x:c r="C673" s="48" t="b">
        <x:v>0</x:v>
      </x:c>
      <x:c r="D673" s="48" t="b">
        <x:v>0</x:v>
      </x:c>
    </x:row>
    <x:row r="674">
      <x:c r="C674" s="48" t="b">
        <x:v>0</x:v>
      </x:c>
      <x:c r="D674" s="48" t="b">
        <x:v>0</x:v>
      </x:c>
    </x:row>
    <x:row r="675">
      <x:c r="C675" s="48" t="b">
        <x:v>0</x:v>
      </x:c>
      <x:c r="D675" s="48" t="b">
        <x:v>0</x:v>
      </x:c>
    </x:row>
    <x:row r="676">
      <x:c r="C676" s="48" t="b">
        <x:v>0</x:v>
      </x:c>
      <x:c r="D676" s="48" t="b">
        <x:v>0</x:v>
      </x:c>
    </x:row>
    <x:row r="677">
      <x:c r="C677" s="48" t="b">
        <x:v>0</x:v>
      </x:c>
      <x:c r="D677" s="48" t="b">
        <x:v>0</x:v>
      </x:c>
    </x:row>
    <x:row r="678">
      <x:c r="C678" s="48" t="b">
        <x:v>0</x:v>
      </x:c>
      <x:c r="D678" s="48" t="b">
        <x:v>0</x:v>
      </x:c>
    </x:row>
    <x:row r="679">
      <x:c r="C679" s="48" t="b">
        <x:v>0</x:v>
      </x:c>
      <x:c r="D679" s="48" t="b">
        <x:v>0</x:v>
      </x:c>
    </x:row>
    <x:row r="680">
      <x:c r="C680" s="48" t="b">
        <x:v>0</x:v>
      </x:c>
      <x:c r="D680" s="48" t="b">
        <x:v>0</x:v>
      </x:c>
    </x:row>
    <x:row r="681">
      <x:c r="C681" s="48" t="b">
        <x:v>0</x:v>
      </x:c>
      <x:c r="D681" s="48" t="b">
        <x:v>0</x:v>
      </x:c>
    </x:row>
    <x:row r="682">
      <x:c r="C682" s="48" t="b">
        <x:v>0</x:v>
      </x:c>
      <x:c r="D682" s="48" t="b">
        <x:v>0</x:v>
      </x:c>
    </x:row>
    <x:row r="683">
      <x:c r="C683" s="48" t="b">
        <x:v>0</x:v>
      </x:c>
      <x:c r="D683" s="48" t="b">
        <x:v>0</x:v>
      </x:c>
    </x:row>
    <x:row r="684">
      <x:c r="C684" s="48" t="b">
        <x:v>0</x:v>
      </x:c>
      <x:c r="D684" s="48" t="b">
        <x:v>0</x:v>
      </x:c>
    </x:row>
    <x:row r="685">
      <x:c r="C685" s="48" t="b">
        <x:v>0</x:v>
      </x:c>
      <x:c r="D685" s="48" t="b">
        <x:v>0</x:v>
      </x:c>
    </x:row>
    <x:row r="686">
      <x:c r="C686" s="48" t="b">
        <x:v>0</x:v>
      </x:c>
      <x:c r="D686" s="48" t="b">
        <x:v>0</x:v>
      </x:c>
    </x:row>
    <x:row r="687">
      <x:c r="C687" s="48" t="b">
        <x:v>0</x:v>
      </x:c>
      <x:c r="D687" s="48" t="b">
        <x:v>0</x:v>
      </x:c>
    </x:row>
    <x:row r="688">
      <x:c r="C688" s="48" t="b">
        <x:v>0</x:v>
      </x:c>
      <x:c r="D688" s="48" t="b">
        <x:v>0</x:v>
      </x:c>
    </x:row>
    <x:row r="689">
      <x:c r="C689" s="48" t="b">
        <x:v>0</x:v>
      </x:c>
      <x:c r="D689" s="48" t="b">
        <x:v>0</x:v>
      </x:c>
    </x:row>
    <x:row r="690">
      <x:c r="C690" s="48" t="b">
        <x:v>0</x:v>
      </x:c>
      <x:c r="D690" s="48" t="b">
        <x:v>0</x:v>
      </x:c>
    </x:row>
    <x:row r="691">
      <x:c r="C691" s="48" t="b">
        <x:v>0</x:v>
      </x:c>
      <x:c r="D691" s="48" t="b">
        <x:v>0</x:v>
      </x:c>
    </x:row>
    <x:row r="692">
      <x:c r="C692" s="48" t="b">
        <x:v>0</x:v>
      </x:c>
      <x:c r="D692" s="48" t="b">
        <x:v>0</x:v>
      </x:c>
    </x:row>
    <x:row r="693">
      <x:c r="C693" s="48" t="b">
        <x:v>0</x:v>
      </x:c>
      <x:c r="D693" s="48" t="b">
        <x:v>0</x:v>
      </x:c>
    </x:row>
    <x:row r="694">
      <x:c r="C694" s="48" t="b">
        <x:v>0</x:v>
      </x:c>
      <x:c r="D694" s="48" t="b">
        <x:v>0</x:v>
      </x:c>
    </x:row>
    <x:row r="695">
      <x:c r="C695" s="48" t="b">
        <x:v>0</x:v>
      </x:c>
      <x:c r="D695" s="48" t="b">
        <x:v>0</x:v>
      </x:c>
    </x:row>
    <x:row r="696">
      <x:c r="C696" s="48" t="b">
        <x:v>0</x:v>
      </x:c>
      <x:c r="D696" s="48" t="b">
        <x:v>0</x:v>
      </x:c>
    </x:row>
    <x:row r="697">
      <x:c r="C697" s="48" t="b">
        <x:v>0</x:v>
      </x:c>
      <x:c r="D697" s="48" t="b">
        <x:v>0</x:v>
      </x:c>
    </x:row>
    <x:row r="698">
      <x:c r="C698" s="48" t="b">
        <x:v>0</x:v>
      </x:c>
      <x:c r="D698" s="48" t="b">
        <x:v>0</x:v>
      </x:c>
    </x:row>
    <x:row r="699">
      <x:c r="C699" s="48" t="b">
        <x:v>0</x:v>
      </x:c>
      <x:c r="D699" s="48" t="b">
        <x:v>0</x:v>
      </x:c>
    </x:row>
    <x:row r="700">
      <x:c r="C700" s="48" t="b">
        <x:v>0</x:v>
      </x:c>
      <x:c r="D700" s="48" t="b">
        <x:v>0</x:v>
      </x:c>
    </x:row>
    <x:row r="701">
      <x:c r="C701" s="48" t="b">
        <x:v>0</x:v>
      </x:c>
      <x:c r="D701" s="48" t="b">
        <x:v>0</x:v>
      </x:c>
    </x:row>
    <x:row r="702">
      <x:c r="C702" s="48" t="b">
        <x:v>0</x:v>
      </x:c>
      <x:c r="D702" s="48" t="b">
        <x:v>0</x:v>
      </x:c>
    </x:row>
    <x:row r="703">
      <x:c r="C703" s="48" t="b">
        <x:v>0</x:v>
      </x:c>
      <x:c r="D703" s="48" t="b">
        <x:v>0</x:v>
      </x:c>
    </x:row>
    <x:row r="704">
      <x:c r="C704" s="48" t="b">
        <x:v>0</x:v>
      </x:c>
      <x:c r="D704" s="48" t="b">
        <x:v>0</x:v>
      </x:c>
    </x:row>
    <x:row r="705">
      <x:c r="C705" s="48" t="b">
        <x:v>0</x:v>
      </x:c>
      <x:c r="D705" s="48" t="b">
        <x:v>0</x:v>
      </x:c>
    </x:row>
    <x:row r="706">
      <x:c r="C706" s="48" t="b">
        <x:v>0</x:v>
      </x:c>
      <x:c r="D706" s="48" t="b">
        <x:v>0</x:v>
      </x:c>
    </x:row>
    <x:row r="707">
      <x:c r="C707" s="48" t="b">
        <x:v>0</x:v>
      </x:c>
      <x:c r="D707" s="48" t="b">
        <x:v>0</x:v>
      </x:c>
    </x:row>
    <x:row r="708">
      <x:c r="C708" s="48" t="b">
        <x:v>0</x:v>
      </x:c>
      <x:c r="D708" s="48" t="b">
        <x:v>0</x:v>
      </x:c>
    </x:row>
    <x:row r="709">
      <x:c r="C709" s="48" t="b">
        <x:v>0</x:v>
      </x:c>
      <x:c r="D709" s="48" t="b">
        <x:v>0</x:v>
      </x:c>
    </x:row>
    <x:row r="710">
      <x:c r="C710" s="48" t="b">
        <x:v>0</x:v>
      </x:c>
      <x:c r="D710" s="48" t="b">
        <x:v>0</x:v>
      </x:c>
    </x:row>
    <x:row r="711">
      <x:c r="C711" s="48" t="b">
        <x:v>0</x:v>
      </x:c>
      <x:c r="D711" s="48" t="b">
        <x:v>0</x:v>
      </x:c>
    </x:row>
    <x:row r="712">
      <x:c r="C712" s="48" t="b">
        <x:v>0</x:v>
      </x:c>
      <x:c r="D712" s="48" t="b">
        <x:v>0</x:v>
      </x:c>
    </x:row>
    <x:row r="713">
      <x:c r="C713" s="48" t="b">
        <x:v>0</x:v>
      </x:c>
      <x:c r="D713" s="48" t="b">
        <x:v>0</x:v>
      </x:c>
    </x:row>
    <x:row r="714">
      <x:c r="C714" s="48" t="b">
        <x:v>0</x:v>
      </x:c>
      <x:c r="D714" s="48" t="b">
        <x:v>0</x:v>
      </x:c>
    </x:row>
    <x:row r="715">
      <x:c r="C715" s="48" t="b">
        <x:v>0</x:v>
      </x:c>
      <x:c r="D715" s="48" t="b">
        <x:v>0</x:v>
      </x:c>
    </x:row>
    <x:row r="716">
      <x:c r="C716" s="48" t="b">
        <x:v>0</x:v>
      </x:c>
      <x:c r="D716" s="48" t="b">
        <x:v>0</x:v>
      </x:c>
    </x:row>
    <x:row r="717">
      <x:c r="C717" s="48" t="b">
        <x:v>0</x:v>
      </x:c>
      <x:c r="D717" s="48" t="b">
        <x:v>0</x:v>
      </x:c>
    </x:row>
    <x:row r="718">
      <x:c r="C718" s="48" t="b">
        <x:v>0</x:v>
      </x:c>
      <x:c r="D718" s="48" t="b">
        <x:v>0</x:v>
      </x:c>
    </x:row>
    <x:row r="719">
      <x:c r="C719" s="48" t="b">
        <x:v>0</x:v>
      </x:c>
      <x:c r="D719" s="48" t="b">
        <x:v>0</x:v>
      </x:c>
    </x:row>
    <x:row r="720">
      <x:c r="C720" s="48" t="b">
        <x:v>0</x:v>
      </x:c>
      <x:c r="D720" s="48" t="b">
        <x:v>0</x:v>
      </x:c>
    </x:row>
    <x:row r="721">
      <x:c r="C721" s="48" t="b">
        <x:v>0</x:v>
      </x:c>
      <x:c r="D721" s="48" t="b">
        <x:v>0</x:v>
      </x:c>
    </x:row>
    <x:row r="722">
      <x:c r="C722" s="48" t="b">
        <x:v>0</x:v>
      </x:c>
      <x:c r="D722" s="48" t="b">
        <x:v>0</x:v>
      </x:c>
    </x:row>
    <x:row r="723">
      <x:c r="C723" s="48" t="b">
        <x:v>0</x:v>
      </x:c>
      <x:c r="D723" s="48" t="b">
        <x:v>0</x:v>
      </x:c>
    </x:row>
    <x:row r="724">
      <x:c r="C724" s="48" t="b">
        <x:v>0</x:v>
      </x:c>
      <x:c r="D724" s="48" t="b">
        <x:v>0</x:v>
      </x:c>
    </x:row>
    <x:row r="725">
      <x:c r="C725" s="48" t="b">
        <x:v>0</x:v>
      </x:c>
      <x:c r="D725" s="48" t="b">
        <x:v>0</x:v>
      </x:c>
    </x:row>
    <x:row r="726">
      <x:c r="C726" s="48" t="b">
        <x:v>0</x:v>
      </x:c>
      <x:c r="D726" s="48" t="b">
        <x:v>0</x:v>
      </x:c>
    </x:row>
    <x:row r="727">
      <x:c r="C727" s="48" t="b">
        <x:v>0</x:v>
      </x:c>
      <x:c r="D727" s="48" t="b">
        <x:v>0</x:v>
      </x:c>
    </x:row>
    <x:row r="728">
      <x:c r="C728" s="48" t="b">
        <x:v>0</x:v>
      </x:c>
      <x:c r="D728" s="48" t="b">
        <x:v>0</x:v>
      </x:c>
    </x:row>
    <x:row r="729">
      <x:c r="C729" s="48" t="b">
        <x:v>0</x:v>
      </x:c>
      <x:c r="D729" s="48" t="b">
        <x:v>0</x:v>
      </x:c>
    </x:row>
    <x:row r="730">
      <x:c r="C730" s="48" t="b">
        <x:v>0</x:v>
      </x:c>
      <x:c r="D730" s="48" t="b">
        <x:v>0</x:v>
      </x:c>
    </x:row>
    <x:row r="731">
      <x:c r="C731" s="48" t="b">
        <x:v>0</x:v>
      </x:c>
      <x:c r="D731" s="48" t="b">
        <x:v>0</x:v>
      </x:c>
    </x:row>
    <x:row r="732">
      <x:c r="C732" s="48" t="b">
        <x:v>0</x:v>
      </x:c>
      <x:c r="D732" s="48" t="b">
        <x:v>0</x:v>
      </x:c>
    </x:row>
    <x:row r="733">
      <x:c r="C733" s="48" t="b">
        <x:v>0</x:v>
      </x:c>
      <x:c r="D733" s="48" t="b">
        <x:v>0</x:v>
      </x:c>
    </x:row>
    <x:row r="734">
      <x:c r="C734" s="48" t="b">
        <x:v>0</x:v>
      </x:c>
      <x:c r="D734" s="48" t="b">
        <x:v>0</x:v>
      </x:c>
    </x:row>
    <x:row r="735">
      <x:c r="C735" s="48" t="b">
        <x:v>0</x:v>
      </x:c>
      <x:c r="D735" s="48" t="b">
        <x:v>0</x:v>
      </x:c>
    </x:row>
    <x:row r="736">
      <x:c r="C736" s="48" t="b">
        <x:v>0</x:v>
      </x:c>
      <x:c r="D736" s="48" t="b">
        <x:v>0</x:v>
      </x:c>
    </x:row>
    <x:row r="737">
      <x:c r="C737" s="48" t="b">
        <x:v>0</x:v>
      </x:c>
      <x:c r="D737" s="48" t="b">
        <x:v>0</x:v>
      </x:c>
    </x:row>
    <x:row r="738">
      <x:c r="C738" s="48" t="b">
        <x:v>0</x:v>
      </x:c>
      <x:c r="D738" s="48" t="b">
        <x:v>0</x:v>
      </x:c>
    </x:row>
    <x:row r="739">
      <x:c r="C739" s="48" t="b">
        <x:v>0</x:v>
      </x:c>
      <x:c r="D739" s="48" t="b">
        <x:v>0</x:v>
      </x:c>
    </x:row>
    <x:row r="740">
      <x:c r="C740" s="48" t="b">
        <x:v>0</x:v>
      </x:c>
      <x:c r="D740" s="48" t="b">
        <x:v>0</x:v>
      </x:c>
    </x:row>
    <x:row r="741">
      <x:c r="C741" s="48" t="b">
        <x:v>0</x:v>
      </x:c>
      <x:c r="D741" s="48" t="b">
        <x:v>0</x:v>
      </x:c>
    </x:row>
    <x:row r="742">
      <x:c r="C742" s="48" t="b">
        <x:v>0</x:v>
      </x:c>
      <x:c r="D742" s="48" t="b">
        <x:v>0</x:v>
      </x:c>
    </x:row>
    <x:row r="743">
      <x:c r="C743" s="48" t="b">
        <x:v>0</x:v>
      </x:c>
      <x:c r="D743" s="48" t="b">
        <x:v>0</x:v>
      </x:c>
    </x:row>
    <x:row r="744">
      <x:c r="C744" s="48" t="b">
        <x:v>0</x:v>
      </x:c>
      <x:c r="D744" s="48" t="b">
        <x:v>0</x:v>
      </x:c>
    </x:row>
    <x:row r="745">
      <x:c r="C745" s="48" t="b">
        <x:v>0</x:v>
      </x:c>
      <x:c r="D745" s="48" t="b">
        <x:v>0</x:v>
      </x:c>
    </x:row>
    <x:row r="746">
      <x:c r="C746" s="48" t="b">
        <x:v>0</x:v>
      </x:c>
      <x:c r="D746" s="48" t="b">
        <x:v>0</x:v>
      </x:c>
    </x:row>
    <x:row r="747">
      <x:c r="C747" s="48" t="b">
        <x:v>0</x:v>
      </x:c>
      <x:c r="D747" s="48" t="b">
        <x:v>0</x:v>
      </x:c>
    </x:row>
    <x:row r="748">
      <x:c r="C748" s="48" t="b">
        <x:v>0</x:v>
      </x:c>
      <x:c r="D748" s="48" t="b">
        <x:v>0</x:v>
      </x:c>
    </x:row>
    <x:row r="749">
      <x:c r="C749" s="48" t="b">
        <x:v>0</x:v>
      </x:c>
      <x:c r="D749" s="48" t="b">
        <x:v>0</x:v>
      </x:c>
    </x:row>
    <x:row r="750">
      <x:c r="C750" s="48" t="b">
        <x:v>0</x:v>
      </x:c>
      <x:c r="D750" s="48" t="b">
        <x:v>0</x:v>
      </x:c>
    </x:row>
    <x:row r="751">
      <x:c r="C751" s="48" t="b">
        <x:v>0</x:v>
      </x:c>
      <x:c r="D751" s="48" t="b">
        <x:v>0</x:v>
      </x:c>
    </x:row>
    <x:row r="752">
      <x:c r="C752" s="48" t="b">
        <x:v>0</x:v>
      </x:c>
      <x:c r="D752" s="48" t="b">
        <x:v>0</x:v>
      </x:c>
    </x:row>
    <x:row r="753">
      <x:c r="C753" s="48" t="b">
        <x:v>0</x:v>
      </x:c>
      <x:c r="D753" s="48" t="b">
        <x:v>0</x:v>
      </x:c>
    </x:row>
    <x:row r="754">
      <x:c r="C754" s="48" t="b">
        <x:v>0</x:v>
      </x:c>
      <x:c r="D754" s="48" t="b">
        <x:v>0</x:v>
      </x:c>
    </x:row>
    <x:row r="755">
      <x:c r="C755" s="48" t="b">
        <x:v>0</x:v>
      </x:c>
      <x:c r="D755" s="48" t="b">
        <x:v>0</x:v>
      </x:c>
    </x:row>
    <x:row r="756">
      <x:c r="C756" s="48" t="b">
        <x:v>0</x:v>
      </x:c>
      <x:c r="D756" s="48" t="b">
        <x:v>0</x:v>
      </x:c>
    </x:row>
    <x:row r="757">
      <x:c r="C757" s="48" t="b">
        <x:v>0</x:v>
      </x:c>
      <x:c r="D757" s="48" t="b">
        <x:v>0</x:v>
      </x:c>
    </x:row>
    <x:row r="758">
      <x:c r="C758" s="48" t="b">
        <x:v>0</x:v>
      </x:c>
      <x:c r="D758" s="48" t="b">
        <x:v>0</x:v>
      </x:c>
    </x:row>
    <x:row r="759">
      <x:c r="C759" s="48" t="b">
        <x:v>0</x:v>
      </x:c>
      <x:c r="D759" s="48" t="b">
        <x:v>0</x:v>
      </x:c>
    </x:row>
    <x:row r="760">
      <x:c r="C760" s="48" t="b">
        <x:v>0</x:v>
      </x:c>
      <x:c r="D760" s="48" t="b">
        <x:v>0</x:v>
      </x:c>
    </x:row>
    <x:row r="761">
      <x:c r="C761" s="48" t="b">
        <x:v>0</x:v>
      </x:c>
      <x:c r="D761" s="48" t="b">
        <x:v>0</x:v>
      </x:c>
    </x:row>
    <x:row r="762">
      <x:c r="C762" s="48" t="b">
        <x:v>0</x:v>
      </x:c>
      <x:c r="D762" s="48" t="b">
        <x:v>0</x:v>
      </x:c>
    </x:row>
    <x:row r="763">
      <x:c r="C763" s="48" t="b">
        <x:v>0</x:v>
      </x:c>
      <x:c r="D763" s="48" t="b">
        <x:v>0</x:v>
      </x:c>
    </x:row>
    <x:row r="764">
      <x:c r="C764" s="48" t="b">
        <x:v>0</x:v>
      </x:c>
      <x:c r="D764" s="48" t="b">
        <x:v>0</x:v>
      </x:c>
    </x:row>
    <x:row r="765">
      <x:c r="C765" s="48" t="b">
        <x:v>0</x:v>
      </x:c>
      <x:c r="D765" s="48" t="b">
        <x:v>0</x:v>
      </x:c>
    </x:row>
    <x:row r="766">
      <x:c r="C766" s="48" t="b">
        <x:v>0</x:v>
      </x:c>
      <x:c r="D766" s="48" t="b">
        <x:v>0</x:v>
      </x:c>
    </x:row>
    <x:row r="767">
      <x:c r="C767" s="48" t="b">
        <x:v>0</x:v>
      </x:c>
      <x:c r="D767" s="48" t="b">
        <x:v>0</x:v>
      </x:c>
    </x:row>
    <x:row r="768">
      <x:c r="C768" s="48" t="b">
        <x:v>0</x:v>
      </x:c>
      <x:c r="D768" s="48" t="b">
        <x:v>0</x:v>
      </x:c>
    </x:row>
    <x:row r="769">
      <x:c r="C769" s="48" t="b">
        <x:v>0</x:v>
      </x:c>
      <x:c r="D769" s="48" t="b">
        <x:v>0</x:v>
      </x:c>
    </x:row>
    <x:row r="770">
      <x:c r="C770" s="48" t="b">
        <x:v>0</x:v>
      </x:c>
      <x:c r="D770" s="48" t="b">
        <x:v>0</x:v>
      </x:c>
    </x:row>
    <x:row r="771">
      <x:c r="C771" s="48" t="b">
        <x:v>0</x:v>
      </x:c>
      <x:c r="D771" s="48" t="b">
        <x:v>0</x:v>
      </x:c>
    </x:row>
    <x:row r="772">
      <x:c r="C772" s="48" t="b">
        <x:v>0</x:v>
      </x:c>
      <x:c r="D772" s="48" t="b">
        <x:v>0</x:v>
      </x:c>
    </x:row>
    <x:row r="773">
      <x:c r="C773" s="48" t="b">
        <x:v>0</x:v>
      </x:c>
      <x:c r="D773" s="48" t="b">
        <x:v>0</x:v>
      </x:c>
    </x:row>
    <x:row r="774">
      <x:c r="C774" s="48" t="b">
        <x:v>0</x:v>
      </x:c>
      <x:c r="D774" s="48" t="b">
        <x:v>0</x:v>
      </x:c>
    </x:row>
    <x:row r="775">
      <x:c r="C775" s="48" t="b">
        <x:v>0</x:v>
      </x:c>
      <x:c r="D775" s="48" t="b">
        <x:v>0</x:v>
      </x:c>
    </x:row>
    <x:row r="776">
      <x:c r="C776" s="48" t="b">
        <x:v>0</x:v>
      </x:c>
      <x:c r="D776" s="48" t="b">
        <x:v>0</x:v>
      </x:c>
    </x:row>
    <x:row r="777">
      <x:c r="C777" s="48" t="b">
        <x:v>0</x:v>
      </x:c>
      <x:c r="D777" s="48" t="b">
        <x:v>0</x:v>
      </x:c>
    </x:row>
    <x:row r="778">
      <x:c r="C778" s="48" t="b">
        <x:v>0</x:v>
      </x:c>
      <x:c r="D778" s="48" t="b">
        <x:v>0</x:v>
      </x:c>
    </x:row>
    <x:row r="779">
      <x:c r="C779" s="48" t="b">
        <x:v>0</x:v>
      </x:c>
      <x:c r="D779" s="48" t="b">
        <x:v>0</x:v>
      </x:c>
    </x:row>
    <x:row r="780">
      <x:c r="C780" s="48" t="b">
        <x:v>0</x:v>
      </x:c>
      <x:c r="D780" s="48" t="b">
        <x:v>0</x:v>
      </x:c>
    </x:row>
    <x:row r="781">
      <x:c r="C781" s="48" t="b">
        <x:v>0</x:v>
      </x:c>
      <x:c r="D781" s="48" t="b">
        <x:v>0</x:v>
      </x:c>
    </x:row>
    <x:row r="782">
      <x:c r="C782" s="48" t="b">
        <x:v>0</x:v>
      </x:c>
      <x:c r="D782" s="48" t="b">
        <x:v>0</x:v>
      </x:c>
    </x:row>
    <x:row r="783">
      <x:c r="C783" s="48" t="b">
        <x:v>0</x:v>
      </x:c>
      <x:c r="D783" s="48" t="b">
        <x:v>0</x:v>
      </x:c>
    </x:row>
    <x:row r="784">
      <x:c r="C784" s="48" t="b">
        <x:v>0</x:v>
      </x:c>
      <x:c r="D784" s="48" t="b">
        <x:v>0</x:v>
      </x:c>
    </x:row>
    <x:row r="785">
      <x:c r="C785" s="48" t="b">
        <x:v>0</x:v>
      </x:c>
      <x:c r="D785" s="48" t="b">
        <x:v>0</x:v>
      </x:c>
    </x:row>
    <x:row r="786">
      <x:c r="C786" s="48" t="b">
        <x:v>0</x:v>
      </x:c>
      <x:c r="D786" s="48" t="b">
        <x:v>0</x:v>
      </x:c>
    </x:row>
    <x:row r="787">
      <x:c r="C787" s="48" t="b">
        <x:v>0</x:v>
      </x:c>
      <x:c r="D787" s="48" t="b">
        <x:v>0</x:v>
      </x:c>
    </x:row>
    <x:row r="788">
      <x:c r="C788" s="48" t="b">
        <x:v>0</x:v>
      </x:c>
      <x:c r="D788" s="48" t="b">
        <x:v>0</x:v>
      </x:c>
    </x:row>
    <x:row r="789">
      <x:c r="C789" s="48" t="b">
        <x:v>0</x:v>
      </x:c>
      <x:c r="D789" s="48" t="b">
        <x:v>0</x:v>
      </x:c>
    </x:row>
    <x:row r="790">
      <x:c r="C790" s="48" t="b">
        <x:v>0</x:v>
      </x:c>
      <x:c r="D790" s="48" t="b">
        <x:v>0</x:v>
      </x:c>
    </x:row>
    <x:row r="791">
      <x:c r="C791" s="48" t="b">
        <x:v>0</x:v>
      </x:c>
      <x:c r="D791" s="48" t="b">
        <x:v>0</x:v>
      </x:c>
    </x:row>
    <x:row r="792">
      <x:c r="C792" s="48" t="b">
        <x:v>0</x:v>
      </x:c>
      <x:c r="D792" s="48" t="b">
        <x:v>0</x:v>
      </x:c>
    </x:row>
    <x:row r="793">
      <x:c r="C793" s="48" t="b">
        <x:v>0</x:v>
      </x:c>
      <x:c r="D793" s="48" t="b">
        <x:v>0</x:v>
      </x:c>
    </x:row>
    <x:row r="794">
      <x:c r="C794" s="48" t="b">
        <x:v>0</x:v>
      </x:c>
      <x:c r="D794" s="48" t="b">
        <x:v>0</x:v>
      </x:c>
    </x:row>
    <x:row r="795">
      <x:c r="C795" s="48" t="b">
        <x:v>0</x:v>
      </x:c>
      <x:c r="D795" s="48" t="b">
        <x:v>0</x:v>
      </x:c>
    </x:row>
    <x:row r="796">
      <x:c r="C796" s="48" t="b">
        <x:v>0</x:v>
      </x:c>
      <x:c r="D796" s="48" t="b">
        <x:v>0</x:v>
      </x:c>
    </x:row>
    <x:row r="797">
      <x:c r="C797" s="48" t="b">
        <x:v>0</x:v>
      </x:c>
      <x:c r="D797" s="48" t="b">
        <x:v>0</x:v>
      </x:c>
    </x:row>
    <x:row r="798">
      <x:c r="C798" s="48" t="b">
        <x:v>0</x:v>
      </x:c>
      <x:c r="D798" s="48" t="b">
        <x:v>0</x:v>
      </x:c>
    </x:row>
    <x:row r="799">
      <x:c r="C799" s="48" t="b">
        <x:v>0</x:v>
      </x:c>
      <x:c r="D799" s="48" t="b">
        <x:v>0</x:v>
      </x:c>
    </x:row>
    <x:row r="800">
      <x:c r="C800" s="48" t="b">
        <x:v>0</x:v>
      </x:c>
      <x:c r="D800" s="48" t="b">
        <x:v>0</x:v>
      </x:c>
    </x:row>
    <x:row r="801">
      <x:c r="C801" s="48" t="b">
        <x:v>0</x:v>
      </x:c>
      <x:c r="D801" s="48" t="b">
        <x:v>0</x:v>
      </x:c>
    </x:row>
    <x:row r="802">
      <x:c r="C802" s="48" t="b">
        <x:v>0</x:v>
      </x:c>
      <x:c r="D802" s="48" t="b">
        <x:v>0</x:v>
      </x:c>
    </x:row>
    <x:row r="803">
      <x:c r="C803" s="48" t="b">
        <x:v>0</x:v>
      </x:c>
      <x:c r="D803" s="48" t="b">
        <x:v>0</x:v>
      </x:c>
    </x:row>
    <x:row r="804">
      <x:c r="C804" s="48" t="b">
        <x:v>0</x:v>
      </x:c>
      <x:c r="D804" s="48" t="b">
        <x:v>0</x:v>
      </x:c>
    </x:row>
    <x:row r="805">
      <x:c r="C805" s="48" t="b">
        <x:v>0</x:v>
      </x:c>
      <x:c r="D805" s="48" t="b">
        <x:v>0</x:v>
      </x:c>
    </x:row>
    <x:row r="806">
      <x:c r="C806" s="48" t="b">
        <x:v>0</x:v>
      </x:c>
      <x:c r="D806" s="48" t="b">
        <x:v>0</x:v>
      </x:c>
    </x:row>
    <x:row r="807">
      <x:c r="C807" s="48" t="b">
        <x:v>0</x:v>
      </x:c>
      <x:c r="D807" s="48" t="b">
        <x:v>0</x:v>
      </x:c>
    </x:row>
    <x:row r="808">
      <x:c r="C808" s="48" t="b">
        <x:v>0</x:v>
      </x:c>
      <x:c r="D808" s="48" t="b">
        <x:v>0</x:v>
      </x:c>
    </x:row>
    <x:row r="809">
      <x:c r="C809" s="48" t="b">
        <x:v>0</x:v>
      </x:c>
      <x:c r="D809" s="48" t="b">
        <x:v>0</x:v>
      </x:c>
    </x:row>
    <x:row r="810">
      <x:c r="C810" s="48" t="b">
        <x:v>0</x:v>
      </x:c>
      <x:c r="D810" s="48" t="b">
        <x:v>0</x:v>
      </x:c>
    </x:row>
    <x:row r="811">
      <x:c r="C811" s="48" t="b">
        <x:v>0</x:v>
      </x:c>
      <x:c r="D811" s="48" t="b">
        <x:v>0</x:v>
      </x:c>
    </x:row>
    <x:row r="812">
      <x:c r="C812" s="48" t="b">
        <x:v>0</x:v>
      </x:c>
      <x:c r="D812" s="48" t="b">
        <x:v>0</x:v>
      </x:c>
    </x:row>
    <x:row r="813">
      <x:c r="C813" s="48" t="b">
        <x:v>0</x:v>
      </x:c>
      <x:c r="D813" s="48" t="b">
        <x:v>0</x:v>
      </x:c>
    </x:row>
    <x:row r="814">
      <x:c r="C814" s="48" t="b">
        <x:v>0</x:v>
      </x:c>
      <x:c r="D814" s="48" t="b">
        <x:v>0</x:v>
      </x:c>
    </x:row>
    <x:row r="815">
      <x:c r="C815" s="48" t="b">
        <x:v>0</x:v>
      </x:c>
      <x:c r="D815" s="48" t="b">
        <x:v>0</x:v>
      </x:c>
    </x:row>
    <x:row r="816">
      <x:c r="C816" s="48" t="b">
        <x:v>0</x:v>
      </x:c>
      <x:c r="D816" s="48" t="b">
        <x:v>0</x:v>
      </x:c>
    </x:row>
    <x:row r="817">
      <x:c r="C817" s="48" t="b">
        <x:v>0</x:v>
      </x:c>
      <x:c r="D817" s="48" t="b">
        <x:v>0</x:v>
      </x:c>
    </x:row>
    <x:row r="818">
      <x:c r="C818" s="48" t="b">
        <x:v>0</x:v>
      </x:c>
      <x:c r="D818" s="48" t="b">
        <x:v>0</x:v>
      </x:c>
    </x:row>
    <x:row r="819">
      <x:c r="C819" s="48" t="b">
        <x:v>0</x:v>
      </x:c>
      <x:c r="D819" s="48" t="b">
        <x:v>0</x:v>
      </x:c>
    </x:row>
    <x:row r="820">
      <x:c r="C820" s="48" t="b">
        <x:v>0</x:v>
      </x:c>
      <x:c r="D820" s="48" t="b">
        <x:v>0</x:v>
      </x:c>
    </x:row>
    <x:row r="821">
      <x:c r="C821" s="48" t="b">
        <x:v>0</x:v>
      </x:c>
      <x:c r="D821" s="48" t="b">
        <x:v>0</x:v>
      </x:c>
    </x:row>
    <x:row r="822">
      <x:c r="C822" s="48" t="b">
        <x:v>0</x:v>
      </x:c>
      <x:c r="D822" s="48" t="b">
        <x:v>0</x:v>
      </x:c>
    </x:row>
    <x:row r="823">
      <x:c r="C823" s="48" t="b">
        <x:v>0</x:v>
      </x:c>
      <x:c r="D823" s="48" t="b">
        <x:v>0</x:v>
      </x:c>
    </x:row>
    <x:row r="824">
      <x:c r="C824" s="48" t="b">
        <x:v>0</x:v>
      </x:c>
      <x:c r="D824" s="48" t="b">
        <x:v>0</x:v>
      </x:c>
    </x:row>
    <x:row r="825">
      <x:c r="C825" s="48" t="b">
        <x:v>0</x:v>
      </x:c>
      <x:c r="D825" s="48" t="b">
        <x:v>0</x:v>
      </x:c>
    </x:row>
    <x:row r="826">
      <x:c r="C826" s="48" t="b">
        <x:v>0</x:v>
      </x:c>
      <x:c r="D826" s="48" t="b">
        <x:v>0</x:v>
      </x:c>
    </x:row>
    <x:row r="827">
      <x:c r="C827" s="48" t="b">
        <x:v>0</x:v>
      </x:c>
      <x:c r="D827" s="48" t="b">
        <x:v>0</x:v>
      </x:c>
    </x:row>
    <x:row r="828">
      <x:c r="C828" s="48" t="b">
        <x:v>0</x:v>
      </x:c>
      <x:c r="D828" s="48" t="b">
        <x:v>0</x:v>
      </x:c>
    </x:row>
    <x:row r="829">
      <x:c r="C829" s="48" t="b">
        <x:v>0</x:v>
      </x:c>
      <x:c r="D829" s="48" t="b">
        <x:v>0</x:v>
      </x:c>
    </x:row>
    <x:row r="830">
      <x:c r="C830" s="48" t="b">
        <x:v>0</x:v>
      </x:c>
      <x:c r="D830" s="48" t="b">
        <x:v>0</x:v>
      </x:c>
    </x:row>
    <x:row r="831">
      <x:c r="C831" s="48" t="b">
        <x:v>0</x:v>
      </x:c>
      <x:c r="D831" s="48" t="b">
        <x:v>0</x:v>
      </x:c>
    </x:row>
    <x:row r="832">
      <x:c r="C832" s="48" t="b">
        <x:v>0</x:v>
      </x:c>
      <x:c r="D832" s="48" t="b">
        <x:v>0</x:v>
      </x:c>
    </x:row>
    <x:row r="833">
      <x:c r="C833" s="48" t="b">
        <x:v>0</x:v>
      </x:c>
      <x:c r="D833" s="48" t="b">
        <x:v>0</x:v>
      </x:c>
    </x:row>
    <x:row r="834">
      <x:c r="C834" s="48" t="b">
        <x:v>0</x:v>
      </x:c>
      <x:c r="D834" s="48" t="b">
        <x:v>0</x:v>
      </x:c>
    </x:row>
    <x:row r="835">
      <x:c r="C835" s="48" t="b">
        <x:v>0</x:v>
      </x:c>
      <x:c r="D835" s="48" t="b">
        <x:v>0</x:v>
      </x:c>
    </x:row>
    <x:row r="836">
      <x:c r="C836" s="48" t="b">
        <x:v>0</x:v>
      </x:c>
      <x:c r="D836" s="48" t="b">
        <x:v>0</x:v>
      </x:c>
    </x:row>
    <x:row r="837">
      <x:c r="C837" s="48" t="b">
        <x:v>0</x:v>
      </x:c>
      <x:c r="D837" s="48" t="b">
        <x:v>0</x:v>
      </x:c>
    </x:row>
    <x:row r="838">
      <x:c r="C838" s="48" t="b">
        <x:v>0</x:v>
      </x:c>
      <x:c r="D838" s="48" t="b">
        <x:v>0</x:v>
      </x:c>
    </x:row>
    <x:row r="839">
      <x:c r="C839" s="48" t="b">
        <x:v>0</x:v>
      </x:c>
      <x:c r="D839" s="48" t="b">
        <x:v>0</x:v>
      </x:c>
    </x:row>
    <x:row r="840">
      <x:c r="C840" s="48" t="b">
        <x:v>0</x:v>
      </x:c>
      <x:c r="D840" s="48" t="b">
        <x:v>0</x:v>
      </x:c>
    </x:row>
    <x:row r="841">
      <x:c r="C841" s="48" t="b">
        <x:v>0</x:v>
      </x:c>
      <x:c r="D841" s="48" t="b">
        <x:v>0</x:v>
      </x:c>
    </x:row>
    <x:row r="842">
      <x:c r="C842" s="48" t="b">
        <x:v>0</x:v>
      </x:c>
      <x:c r="D842" s="48" t="b">
        <x:v>0</x:v>
      </x:c>
    </x:row>
    <x:row r="843">
      <x:c r="C843" s="48" t="b">
        <x:v>0</x:v>
      </x:c>
      <x:c r="D843" s="48" t="b">
        <x:v>0</x:v>
      </x:c>
    </x:row>
    <x:row r="844">
      <x:c r="C844" s="48" t="b">
        <x:v>0</x:v>
      </x:c>
      <x:c r="D844" s="48" t="b">
        <x:v>0</x:v>
      </x:c>
    </x:row>
    <x:row r="845">
      <x:c r="C845" s="48" t="b">
        <x:v>0</x:v>
      </x:c>
      <x:c r="D845" s="48" t="b">
        <x:v>0</x:v>
      </x:c>
    </x:row>
    <x:row r="846">
      <x:c r="C846" s="48" t="b">
        <x:v>0</x:v>
      </x:c>
      <x:c r="D846" s="48" t="b">
        <x:v>0</x:v>
      </x:c>
    </x:row>
    <x:row r="847">
      <x:c r="C847" s="48" t="b">
        <x:v>0</x:v>
      </x:c>
      <x:c r="D847" s="48" t="b">
        <x:v>0</x:v>
      </x:c>
    </x:row>
    <x:row r="848">
      <x:c r="C848" s="48" t="b">
        <x:v>0</x:v>
      </x:c>
      <x:c r="D848" s="48" t="b">
        <x:v>0</x:v>
      </x:c>
    </x:row>
    <x:row r="849">
      <x:c r="C849" s="48" t="b">
        <x:v>0</x:v>
      </x:c>
      <x:c r="D849" s="48" t="b">
        <x:v>0</x:v>
      </x:c>
    </x:row>
    <x:row r="850">
      <x:c r="C850" s="48" t="b">
        <x:v>0</x:v>
      </x:c>
      <x:c r="D850" s="48" t="b">
        <x:v>0</x:v>
      </x:c>
    </x:row>
    <x:row r="851">
      <x:c r="C851" s="48" t="b">
        <x:v>0</x:v>
      </x:c>
      <x:c r="D851" s="48" t="b">
        <x:v>0</x:v>
      </x:c>
    </x:row>
    <x:row r="852">
      <x:c r="C852" s="48" t="b">
        <x:v>0</x:v>
      </x:c>
      <x:c r="D852" s="48" t="b">
        <x:v>0</x:v>
      </x:c>
    </x:row>
    <x:row r="853">
      <x:c r="C853" s="48" t="b">
        <x:v>0</x:v>
      </x:c>
      <x:c r="D853" s="48" t="b">
        <x:v>0</x:v>
      </x:c>
    </x:row>
    <x:row r="854">
      <x:c r="C854" s="48" t="b">
        <x:v>0</x:v>
      </x:c>
      <x:c r="D854" s="48" t="b">
        <x:v>0</x:v>
      </x:c>
    </x:row>
    <x:row r="855">
      <x:c r="C855" s="48" t="b">
        <x:v>0</x:v>
      </x:c>
      <x:c r="D855" s="48" t="b">
        <x:v>0</x:v>
      </x:c>
    </x:row>
    <x:row r="856">
      <x:c r="C856" s="48" t="b">
        <x:v>0</x:v>
      </x:c>
      <x:c r="D856" s="48" t="b">
        <x:v>0</x:v>
      </x:c>
    </x:row>
    <x:row r="857">
      <x:c r="C857" s="48" t="b">
        <x:v>0</x:v>
      </x:c>
      <x:c r="D857" s="48" t="b">
        <x:v>0</x:v>
      </x:c>
    </x:row>
    <x:row r="858">
      <x:c r="C858" s="48" t="b">
        <x:v>0</x:v>
      </x:c>
      <x:c r="D858" s="48" t="b">
        <x:v>0</x:v>
      </x:c>
    </x:row>
    <x:row r="859">
      <x:c r="C859" s="48" t="b">
        <x:v>0</x:v>
      </x:c>
      <x:c r="D859" s="48" t="b">
        <x:v>0</x:v>
      </x:c>
    </x:row>
    <x:row r="860">
      <x:c r="C860" s="48" t="b">
        <x:v>0</x:v>
      </x:c>
      <x:c r="D860" s="48" t="b">
        <x:v>0</x:v>
      </x:c>
    </x:row>
    <x:row r="861">
      <x:c r="C861" s="48" t="b">
        <x:v>0</x:v>
      </x:c>
      <x:c r="D861" s="48" t="b">
        <x:v>0</x:v>
      </x:c>
    </x:row>
    <x:row r="862">
      <x:c r="C862" s="48" t="b">
        <x:v>0</x:v>
      </x:c>
      <x:c r="D862" s="48" t="b">
        <x:v>0</x:v>
      </x:c>
    </x:row>
    <x:row r="863">
      <x:c r="C863" s="48" t="b">
        <x:v>0</x:v>
      </x:c>
      <x:c r="D863" s="48" t="b">
        <x:v>0</x:v>
      </x:c>
    </x:row>
    <x:row r="864">
      <x:c r="C864" s="48" t="b">
        <x:v>0</x:v>
      </x:c>
      <x:c r="D864" s="48" t="b">
        <x:v>0</x:v>
      </x:c>
    </x:row>
    <x:row r="865">
      <x:c r="C865" s="48" t="b">
        <x:v>0</x:v>
      </x:c>
      <x:c r="D865" s="48" t="b">
        <x:v>0</x:v>
      </x:c>
    </x:row>
    <x:row r="866">
      <x:c r="C866" s="48" t="b">
        <x:v>0</x:v>
      </x:c>
      <x:c r="D866" s="48" t="b">
        <x:v>0</x:v>
      </x:c>
    </x:row>
    <x:row r="867">
      <x:c r="C867" s="48" t="b">
        <x:v>0</x:v>
      </x:c>
      <x:c r="D867" s="48" t="b">
        <x:v>0</x:v>
      </x:c>
    </x:row>
    <x:row r="868">
      <x:c r="C868" s="48" t="b">
        <x:v>0</x:v>
      </x:c>
      <x:c r="D868" s="48" t="b">
        <x:v>0</x:v>
      </x:c>
    </x:row>
    <x:row r="869">
      <x:c r="C869" s="48" t="b">
        <x:v>0</x:v>
      </x:c>
      <x:c r="D869" s="48" t="b">
        <x:v>0</x:v>
      </x:c>
    </x:row>
    <x:row r="870">
      <x:c r="C870" s="48" t="b">
        <x:v>0</x:v>
      </x:c>
      <x:c r="D870" s="48" t="b">
        <x:v>0</x:v>
      </x:c>
    </x:row>
    <x:row r="871">
      <x:c r="C871" s="48" t="b">
        <x:v>0</x:v>
      </x:c>
      <x:c r="D871" s="48" t="b">
        <x:v>0</x:v>
      </x:c>
    </x:row>
    <x:row r="872">
      <x:c r="C872" s="48" t="b">
        <x:v>0</x:v>
      </x:c>
      <x:c r="D872" s="48" t="b">
        <x:v>0</x:v>
      </x:c>
    </x:row>
    <x:row r="873">
      <x:c r="C873" s="48" t="b">
        <x:v>0</x:v>
      </x:c>
      <x:c r="D873" s="48" t="b">
        <x:v>0</x:v>
      </x:c>
    </x:row>
    <x:row r="874">
      <x:c r="C874" s="48" t="b">
        <x:v>0</x:v>
      </x:c>
      <x:c r="D874" s="48" t="b">
        <x:v>0</x:v>
      </x:c>
    </x:row>
    <x:row r="875">
      <x:c r="C875" s="48" t="b">
        <x:v>0</x:v>
      </x:c>
      <x:c r="D875" s="48" t="b">
        <x:v>0</x:v>
      </x:c>
    </x:row>
    <x:row r="876">
      <x:c r="C876" s="48" t="b">
        <x:v>0</x:v>
      </x:c>
      <x:c r="D876" s="48" t="b">
        <x:v>0</x:v>
      </x:c>
    </x:row>
    <x:row r="877">
      <x:c r="C877" s="48" t="b">
        <x:v>0</x:v>
      </x:c>
      <x:c r="D877" s="48" t="b">
        <x:v>0</x:v>
      </x:c>
    </x:row>
    <x:row r="878">
      <x:c r="C878" s="48" t="b">
        <x:v>0</x:v>
      </x:c>
      <x:c r="D878" s="48" t="b">
        <x:v>0</x:v>
      </x:c>
    </x:row>
    <x:row r="879">
      <x:c r="C879" s="48" t="b">
        <x:v>0</x:v>
      </x:c>
      <x:c r="D879" s="48" t="b">
        <x:v>0</x:v>
      </x:c>
    </x:row>
    <x:row r="880">
      <x:c r="C880" s="48" t="b">
        <x:v>0</x:v>
      </x:c>
      <x:c r="D880" s="48" t="b">
        <x:v>0</x:v>
      </x:c>
    </x:row>
    <x:row r="881">
      <x:c r="C881" s="48" t="b">
        <x:v>0</x:v>
      </x:c>
      <x:c r="D881" s="48" t="b">
        <x:v>0</x:v>
      </x:c>
    </x:row>
    <x:row r="882">
      <x:c r="C882" s="48" t="b">
        <x:v>0</x:v>
      </x:c>
      <x:c r="D882" s="48" t="b">
        <x:v>0</x:v>
      </x:c>
    </x:row>
    <x:row r="883">
      <x:c r="C883" s="48" t="b">
        <x:v>0</x:v>
      </x:c>
      <x:c r="D883" s="48" t="b">
        <x:v>0</x:v>
      </x:c>
    </x:row>
    <x:row r="884">
      <x:c r="C884" s="48" t="b">
        <x:v>0</x:v>
      </x:c>
      <x:c r="D884" s="48" t="b">
        <x:v>0</x:v>
      </x:c>
    </x:row>
    <x:row r="885">
      <x:c r="C885" s="48" t="b">
        <x:v>0</x:v>
      </x:c>
      <x:c r="D885" s="48" t="b">
        <x:v>0</x:v>
      </x:c>
    </x:row>
    <x:row r="886">
      <x:c r="C886" s="48" t="b">
        <x:v>0</x:v>
      </x:c>
      <x:c r="D886" s="48" t="b">
        <x:v>0</x:v>
      </x:c>
    </x:row>
    <x:row r="887">
      <x:c r="C887" s="48" t="b">
        <x:v>0</x:v>
      </x:c>
      <x:c r="D887" s="48" t="b">
        <x:v>0</x:v>
      </x:c>
    </x:row>
    <x:row r="888">
      <x:c r="C888" s="48" t="b">
        <x:v>0</x:v>
      </x:c>
      <x:c r="D888" s="48" t="b">
        <x:v>0</x:v>
      </x:c>
    </x:row>
    <x:row r="889">
      <x:c r="C889" s="48" t="b">
        <x:v>0</x:v>
      </x:c>
      <x:c r="D889" s="48" t="b">
        <x:v>0</x:v>
      </x:c>
    </x:row>
    <x:row r="890">
      <x:c r="C890" s="48" t="b">
        <x:v>0</x:v>
      </x:c>
      <x:c r="D890" s="48" t="b">
        <x:v>0</x:v>
      </x:c>
    </x:row>
    <x:row r="891">
      <x:c r="C891" s="48" t="b">
        <x:v>0</x:v>
      </x:c>
      <x:c r="D891" s="48" t="b">
        <x:v>0</x:v>
      </x:c>
    </x:row>
    <x:row r="892">
      <x:c r="C892" s="48" t="b">
        <x:v>0</x:v>
      </x:c>
      <x:c r="D892" s="48" t="b">
        <x:v>0</x:v>
      </x:c>
    </x:row>
    <x:row r="893">
      <x:c r="C893" s="48" t="b">
        <x:v>0</x:v>
      </x:c>
      <x:c r="D893" s="48" t="b">
        <x:v>0</x:v>
      </x:c>
    </x:row>
    <x:row r="894">
      <x:c r="C894" s="48" t="b">
        <x:v>0</x:v>
      </x:c>
      <x:c r="D894" s="48" t="b">
        <x:v>0</x:v>
      </x:c>
    </x:row>
    <x:row r="895">
      <x:c r="C895" s="48" t="b">
        <x:v>0</x:v>
      </x:c>
      <x:c r="D895" s="48" t="b">
        <x:v>0</x:v>
      </x:c>
    </x:row>
    <x:row r="896">
      <x:c r="C896" s="48" t="b">
        <x:v>0</x:v>
      </x:c>
      <x:c r="D896" s="48" t="b">
        <x:v>0</x:v>
      </x:c>
    </x:row>
    <x:row r="897">
      <x:c r="C897" s="48" t="b">
        <x:v>0</x:v>
      </x:c>
      <x:c r="D897" s="48" t="b">
        <x:v>0</x:v>
      </x:c>
    </x:row>
    <x:row r="898">
      <x:c r="C898" s="48" t="b">
        <x:v>0</x:v>
      </x:c>
      <x:c r="D898" s="48" t="b">
        <x:v>0</x:v>
      </x:c>
    </x:row>
    <x:row r="899">
      <x:c r="C899" s="48" t="b">
        <x:v>0</x:v>
      </x:c>
      <x:c r="D899" s="48" t="b">
        <x:v>0</x:v>
      </x:c>
    </x:row>
    <x:row r="900">
      <x:c r="C900" s="48" t="b">
        <x:v>0</x:v>
      </x:c>
      <x:c r="D900" s="48" t="b">
        <x:v>0</x:v>
      </x:c>
    </x:row>
    <x:row r="901">
      <x:c r="C901" s="48" t="b">
        <x:v>0</x:v>
      </x:c>
      <x:c r="D901" s="48" t="b">
        <x:v>0</x:v>
      </x:c>
    </x:row>
    <x:row r="902">
      <x:c r="C902" s="48" t="b">
        <x:v>0</x:v>
      </x:c>
      <x:c r="D902" s="48" t="b">
        <x:v>0</x:v>
      </x:c>
    </x:row>
    <x:row r="903">
      <x:c r="C903" s="48" t="b">
        <x:v>0</x:v>
      </x:c>
      <x:c r="D903" s="48" t="b">
        <x:v>0</x:v>
      </x:c>
    </x:row>
    <x:row r="904">
      <x:c r="C904" s="48" t="b">
        <x:v>0</x:v>
      </x:c>
      <x:c r="D904" s="48" t="b">
        <x:v>0</x:v>
      </x:c>
    </x:row>
    <x:row r="905">
      <x:c r="C905" s="48" t="b">
        <x:v>0</x:v>
      </x:c>
      <x:c r="D905" s="48" t="b">
        <x:v>0</x:v>
      </x:c>
    </x:row>
    <x:row r="906">
      <x:c r="C906" s="48" t="b">
        <x:v>0</x:v>
      </x:c>
      <x:c r="D906" s="48" t="b">
        <x:v>0</x:v>
      </x:c>
    </x:row>
    <x:row r="907">
      <x:c r="C907" s="48" t="b">
        <x:v>0</x:v>
      </x:c>
      <x:c r="D907" s="48" t="b">
        <x:v>0</x:v>
      </x:c>
    </x:row>
    <x:row r="908">
      <x:c r="C908" s="48" t="b">
        <x:v>0</x:v>
      </x:c>
      <x:c r="D908" s="48" t="b">
        <x:v>0</x:v>
      </x:c>
    </x:row>
    <x:row r="909">
      <x:c r="C909" s="48" t="b">
        <x:v>0</x:v>
      </x:c>
      <x:c r="D909" s="48" t="b">
        <x:v>0</x:v>
      </x:c>
    </x:row>
    <x:row r="910">
      <x:c r="C910" s="48" t="b">
        <x:v>0</x:v>
      </x:c>
      <x:c r="D910" s="48" t="b">
        <x:v>0</x:v>
      </x:c>
    </x:row>
    <x:row r="911">
      <x:c r="C911" s="48" t="b">
        <x:v>0</x:v>
      </x:c>
      <x:c r="D911" s="48" t="b">
        <x:v>0</x:v>
      </x:c>
    </x:row>
    <x:row r="912">
      <x:c r="C912" s="48" t="b">
        <x:v>0</x:v>
      </x:c>
      <x:c r="D912" s="48" t="b">
        <x:v>0</x:v>
      </x:c>
    </x:row>
    <x:row r="913">
      <x:c r="C913" s="48" t="b">
        <x:v>0</x:v>
      </x:c>
      <x:c r="D913" s="48" t="b">
        <x:v>0</x:v>
      </x:c>
    </x:row>
    <x:row r="914">
      <x:c r="C914" s="48" t="b">
        <x:v>0</x:v>
      </x:c>
      <x:c r="D914" s="48" t="b">
        <x:v>0</x:v>
      </x:c>
    </x:row>
    <x:row r="915">
      <x:c r="C915" s="48" t="b">
        <x:v>0</x:v>
      </x:c>
      <x:c r="D915" s="48" t="b">
        <x:v>0</x:v>
      </x:c>
    </x:row>
    <x:row r="916">
      <x:c r="C916" s="48" t="b">
        <x:v>0</x:v>
      </x:c>
      <x:c r="D916" s="48" t="b">
        <x:v>0</x:v>
      </x:c>
    </x:row>
    <x:row r="917">
      <x:c r="C917" s="48" t="b">
        <x:v>0</x:v>
      </x:c>
      <x:c r="D917" s="48" t="b">
        <x:v>0</x:v>
      </x:c>
    </x:row>
    <x:row r="918">
      <x:c r="C918" s="48" t="b">
        <x:v>0</x:v>
      </x:c>
      <x:c r="D918" s="48" t="b">
        <x:v>0</x:v>
      </x:c>
    </x:row>
    <x:row r="919">
      <x:c r="C919" s="48" t="b">
        <x:v>0</x:v>
      </x:c>
      <x:c r="D919" s="48" t="b">
        <x:v>0</x:v>
      </x:c>
    </x:row>
    <x:row r="920">
      <x:c r="C920" s="48" t="b">
        <x:v>0</x:v>
      </x:c>
      <x:c r="D920" s="48" t="b">
        <x:v>0</x:v>
      </x:c>
    </x:row>
    <x:row r="921">
      <x:c r="C921" s="48" t="b">
        <x:v>0</x:v>
      </x:c>
      <x:c r="D921" s="48" t="b">
        <x:v>0</x:v>
      </x:c>
    </x:row>
    <x:row r="922">
      <x:c r="C922" s="48" t="b">
        <x:v>0</x:v>
      </x:c>
      <x:c r="D922" s="48" t="b">
        <x:v>0</x:v>
      </x:c>
    </x:row>
    <x:row r="923">
      <x:c r="C923" s="48" t="b">
        <x:v>0</x:v>
      </x:c>
      <x:c r="D923" s="48" t="b">
        <x:v>0</x:v>
      </x:c>
    </x:row>
    <x:row r="924">
      <x:c r="C924" s="48" t="b">
        <x:v>0</x:v>
      </x:c>
      <x:c r="D924" s="48" t="b">
        <x:v>0</x:v>
      </x:c>
    </x:row>
    <x:row r="925">
      <x:c r="C925" s="48" t="b">
        <x:v>0</x:v>
      </x:c>
      <x:c r="D925" s="48" t="b">
        <x:v>0</x:v>
      </x:c>
    </x:row>
    <x:row r="926">
      <x:c r="C926" s="48" t="b">
        <x:v>0</x:v>
      </x:c>
      <x:c r="D926" s="48" t="b">
        <x:v>0</x:v>
      </x:c>
    </x:row>
    <x:row r="927">
      <x:c r="C927" s="48" t="b">
        <x:v>0</x:v>
      </x:c>
      <x:c r="D927" s="48" t="b">
        <x:v>0</x:v>
      </x:c>
    </x:row>
    <x:row r="928">
      <x:c r="C928" s="48" t="b">
        <x:v>0</x:v>
      </x:c>
      <x:c r="D928" s="48" t="b">
        <x:v>0</x:v>
      </x:c>
    </x:row>
    <x:row r="929">
      <x:c r="C929" s="48" t="b">
        <x:v>0</x:v>
      </x:c>
      <x:c r="D929" s="48" t="b">
        <x:v>0</x:v>
      </x:c>
    </x:row>
    <x:row r="930">
      <x:c r="C930" s="48" t="b">
        <x:v>0</x:v>
      </x:c>
      <x:c r="D930" s="48" t="b">
        <x:v>0</x:v>
      </x:c>
    </x:row>
    <x:row r="931">
      <x:c r="C931" s="48" t="b">
        <x:v>0</x:v>
      </x:c>
      <x:c r="D931" s="48" t="b">
        <x:v>0</x:v>
      </x:c>
    </x:row>
    <x:row r="932">
      <x:c r="C932" s="48" t="b">
        <x:v>0</x:v>
      </x:c>
      <x:c r="D932" s="48" t="b">
        <x:v>0</x:v>
      </x:c>
    </x:row>
    <x:row r="933">
      <x:c r="C933" s="48" t="b">
        <x:v>0</x:v>
      </x:c>
      <x:c r="D933" s="48" t="b">
        <x:v>0</x:v>
      </x:c>
    </x:row>
    <x:row r="934">
      <x:c r="C934" s="48" t="b">
        <x:v>0</x:v>
      </x:c>
      <x:c r="D934" s="48" t="b">
        <x:v>0</x:v>
      </x:c>
    </x:row>
    <x:row r="935">
      <x:c r="C935" s="48" t="b">
        <x:v>0</x:v>
      </x:c>
      <x:c r="D935" s="48" t="b">
        <x:v>0</x:v>
      </x:c>
    </x:row>
    <x:row r="936">
      <x:c r="C936" s="48" t="b">
        <x:v>0</x:v>
      </x:c>
      <x:c r="D936" s="48" t="b">
        <x:v>0</x:v>
      </x:c>
    </x:row>
    <x:row r="937">
      <x:c r="C937" s="48" t="b">
        <x:v>0</x:v>
      </x:c>
      <x:c r="D937" s="48" t="b">
        <x:v>0</x:v>
      </x:c>
    </x:row>
    <x:row r="938">
      <x:c r="C938" s="48" t="b">
        <x:v>0</x:v>
      </x:c>
      <x:c r="D938" s="48" t="b">
        <x:v>0</x:v>
      </x:c>
    </x:row>
    <x:row r="939">
      <x:c r="C939" s="48" t="b">
        <x:v>0</x:v>
      </x:c>
      <x:c r="D939" s="48" t="b">
        <x:v>0</x:v>
      </x:c>
    </x:row>
    <x:row r="940">
      <x:c r="C940" s="48" t="b">
        <x:v>0</x:v>
      </x:c>
      <x:c r="D940" s="48" t="b">
        <x:v>0</x:v>
      </x:c>
    </x:row>
    <x:row r="941">
      <x:c r="C941" s="48" t="b">
        <x:v>0</x:v>
      </x:c>
      <x:c r="D941" s="48" t="b">
        <x:v>0</x:v>
      </x:c>
    </x:row>
    <x:row r="942">
      <x:c r="C942" s="48" t="b">
        <x:v>0</x:v>
      </x:c>
      <x:c r="D942" s="48" t="b">
        <x:v>0</x:v>
      </x:c>
    </x:row>
    <x:row r="943">
      <x:c r="C943" s="48" t="b">
        <x:v>0</x:v>
      </x:c>
      <x:c r="D943" s="48" t="b">
        <x:v>0</x:v>
      </x:c>
    </x:row>
    <x:row r="944">
      <x:c r="C944" s="48" t="b">
        <x:v>0</x:v>
      </x:c>
      <x:c r="D944" s="48" t="b">
        <x:v>0</x:v>
      </x:c>
    </x:row>
    <x:row r="945">
      <x:c r="C945" s="48" t="b">
        <x:v>0</x:v>
      </x:c>
      <x:c r="D945" s="48" t="b">
        <x:v>0</x:v>
      </x:c>
    </x:row>
    <x:row r="946">
      <x:c r="C946" s="48" t="b">
        <x:v>0</x:v>
      </x:c>
      <x:c r="D946" s="48" t="b">
        <x:v>0</x:v>
      </x:c>
    </x:row>
    <x:row r="947">
      <x:c r="C947" s="48" t="b">
        <x:v>0</x:v>
      </x:c>
      <x:c r="D947" s="48" t="b">
        <x:v>0</x:v>
      </x:c>
    </x:row>
    <x:row r="948">
      <x:c r="C948" s="48" t="b">
        <x:v>0</x:v>
      </x:c>
      <x:c r="D948" s="48" t="b">
        <x:v>0</x:v>
      </x:c>
    </x:row>
    <x:row r="949">
      <x:c r="C949" s="48" t="b">
        <x:v>0</x:v>
      </x:c>
      <x:c r="D949" s="48" t="b">
        <x:v>0</x:v>
      </x:c>
    </x:row>
    <x:row r="950">
      <x:c r="C950" s="48" t="b">
        <x:v>0</x:v>
      </x:c>
      <x:c r="D950" s="48" t="b">
        <x:v>0</x:v>
      </x:c>
    </x:row>
    <x:row r="951">
      <x:c r="C951" s="48" t="b">
        <x:v>0</x:v>
      </x:c>
      <x:c r="D951" s="48" t="b">
        <x:v>0</x:v>
      </x:c>
    </x:row>
    <x:row r="952">
      <x:c r="C952" s="48" t="b">
        <x:v>0</x:v>
      </x:c>
      <x:c r="D952" s="48" t="b">
        <x:v>0</x:v>
      </x:c>
    </x:row>
    <x:row r="953">
      <x:c r="C953" s="48" t="b">
        <x:v>0</x:v>
      </x:c>
      <x:c r="D953" s="48" t="b">
        <x:v>0</x:v>
      </x:c>
    </x:row>
    <x:row r="954">
      <x:c r="C954" s="48" t="b">
        <x:v>0</x:v>
      </x:c>
      <x:c r="D954" s="48" t="b">
        <x:v>0</x:v>
      </x:c>
    </x:row>
    <x:row r="955">
      <x:c r="C955" s="48" t="b">
        <x:v>0</x:v>
      </x:c>
      <x:c r="D955" s="48" t="b">
        <x:v>0</x:v>
      </x:c>
    </x:row>
    <x:row r="956">
      <x:c r="C956" s="48" t="b">
        <x:v>0</x:v>
      </x:c>
      <x:c r="D956" s="48" t="b">
        <x:v>0</x:v>
      </x:c>
    </x:row>
    <x:row r="957">
      <x:c r="C957" s="48" t="b">
        <x:v>0</x:v>
      </x:c>
      <x:c r="D957" s="48" t="b">
        <x:v>0</x:v>
      </x:c>
    </x:row>
    <x:row r="958">
      <x:c r="C958" s="48" t="b">
        <x:v>0</x:v>
      </x:c>
      <x:c r="D958" s="48" t="b">
        <x:v>0</x:v>
      </x:c>
    </x:row>
    <x:row r="959">
      <x:c r="C959" s="48" t="b">
        <x:v>0</x:v>
      </x:c>
      <x:c r="D959" s="48" t="b">
        <x:v>0</x:v>
      </x:c>
    </x:row>
    <x:row r="960">
      <x:c r="C960" s="48" t="b">
        <x:v>0</x:v>
      </x:c>
      <x:c r="D960" s="48" t="b">
        <x:v>0</x:v>
      </x:c>
    </x:row>
    <x:row r="961">
      <x:c r="C961" s="48" t="b">
        <x:v>0</x:v>
      </x:c>
      <x:c r="D961" s="48" t="b">
        <x:v>0</x:v>
      </x:c>
    </x:row>
    <x:row r="962">
      <x:c r="C962" s="48" t="b">
        <x:v>0</x:v>
      </x:c>
      <x:c r="D962" s="48" t="b">
        <x:v>0</x:v>
      </x:c>
    </x:row>
    <x:row r="963">
      <x:c r="C963" s="48" t="b">
        <x:v>0</x:v>
      </x:c>
      <x:c r="D963" s="48" t="b">
        <x:v>0</x:v>
      </x:c>
    </x:row>
    <x:row r="964">
      <x:c r="C964" s="48" t="b">
        <x:v>0</x:v>
      </x:c>
      <x:c r="D964" s="48" t="b">
        <x:v>0</x:v>
      </x:c>
    </x:row>
    <x:row r="965">
      <x:c r="C965" s="48" t="b">
        <x:v>0</x:v>
      </x:c>
      <x:c r="D965" s="48" t="b">
        <x:v>0</x:v>
      </x:c>
    </x:row>
    <x:row r="966">
      <x:c r="C966" s="48" t="b">
        <x:v>0</x:v>
      </x:c>
      <x:c r="D966" s="48" t="b">
        <x:v>0</x:v>
      </x:c>
    </x:row>
    <x:row r="967">
      <x:c r="C967" s="48" t="b">
        <x:v>0</x:v>
      </x:c>
      <x:c r="D967" s="48" t="b">
        <x:v>0</x:v>
      </x:c>
    </x:row>
    <x:row r="968">
      <x:c r="C968" s="48" t="b">
        <x:v>0</x:v>
      </x:c>
      <x:c r="D968" s="48" t="b">
        <x:v>0</x:v>
      </x:c>
    </x:row>
    <x:row r="969">
      <x:c r="C969" s="48" t="b">
        <x:v>0</x:v>
      </x:c>
      <x:c r="D969" s="48" t="b">
        <x:v>0</x:v>
      </x:c>
    </x:row>
    <x:row r="970">
      <x:c r="C970" s="48" t="b">
        <x:v>0</x:v>
      </x:c>
      <x:c r="D970" s="48" t="b">
        <x:v>0</x:v>
      </x:c>
    </x:row>
    <x:row r="971">
      <x:c r="C971" s="48" t="b">
        <x:v>0</x:v>
      </x:c>
      <x:c r="D971" s="48" t="b">
        <x:v>0</x:v>
      </x:c>
    </x:row>
    <x:row r="972">
      <x:c r="C972" s="48" t="b">
        <x:v>0</x:v>
      </x:c>
      <x:c r="D972" s="48" t="b">
        <x:v>0</x:v>
      </x:c>
    </x:row>
    <x:row r="973">
      <x:c r="C973" s="48" t="b">
        <x:v>0</x:v>
      </x:c>
      <x:c r="D973" s="48" t="b">
        <x:v>0</x:v>
      </x:c>
    </x:row>
    <x:row r="974">
      <x:c r="C974" s="48" t="b">
        <x:v>0</x:v>
      </x:c>
      <x:c r="D974" s="48" t="b">
        <x:v>0</x:v>
      </x:c>
    </x:row>
    <x:row r="975">
      <x:c r="C975" s="48" t="b">
        <x:v>0</x:v>
      </x:c>
      <x:c r="D975" s="48" t="b">
        <x:v>0</x:v>
      </x:c>
    </x:row>
    <x:row r="976">
      <x:c r="C976" s="48" t="b">
        <x:v>0</x:v>
      </x:c>
      <x:c r="D976" s="48" t="b">
        <x:v>0</x:v>
      </x:c>
    </x:row>
    <x:row r="977">
      <x:c r="C977" s="48" t="b">
        <x:v>0</x:v>
      </x:c>
      <x:c r="D977" s="48" t="b">
        <x:v>0</x:v>
      </x:c>
    </x:row>
    <x:row r="978">
      <x:c r="C978" s="48" t="b">
        <x:v>0</x:v>
      </x:c>
      <x:c r="D978" s="48" t="b">
        <x:v>0</x:v>
      </x:c>
    </x:row>
    <x:row r="979">
      <x:c r="C979" s="48" t="b">
        <x:v>0</x:v>
      </x:c>
      <x:c r="D979" s="48" t="b">
        <x:v>0</x:v>
      </x:c>
    </x:row>
    <x:row r="980">
      <x:c r="C980" s="48" t="b">
        <x:v>0</x:v>
      </x:c>
      <x:c r="D980" s="48" t="b">
        <x:v>0</x:v>
      </x:c>
    </x:row>
    <x:row r="981">
      <x:c r="C981" s="48" t="b">
        <x:v>0</x:v>
      </x:c>
      <x:c r="D981" s="48" t="b">
        <x:v>0</x:v>
      </x:c>
    </x:row>
    <x:row r="982">
      <x:c r="C982" s="48" t="b">
        <x:v>0</x:v>
      </x:c>
      <x:c r="D982" s="48" t="b">
        <x:v>0</x:v>
      </x:c>
    </x:row>
    <x:row r="983">
      <x:c r="C983" s="48" t="b">
        <x:v>0</x:v>
      </x:c>
      <x:c r="D983" s="48" t="b">
        <x:v>0</x:v>
      </x:c>
    </x:row>
    <x:row r="984">
      <x:c r="C984" s="48" t="b">
        <x:v>0</x:v>
      </x:c>
      <x:c r="D984" s="48" t="b">
        <x:v>0</x:v>
      </x:c>
    </x:row>
    <x:row r="985">
      <x:c r="C985" s="48" t="b">
        <x:v>0</x:v>
      </x:c>
      <x:c r="D985" s="48" t="b">
        <x:v>0</x:v>
      </x:c>
    </x:row>
    <x:row r="986">
      <x:c r="C986" s="48" t="b">
        <x:v>0</x:v>
      </x:c>
      <x:c r="D986" s="48" t="b">
        <x:v>0</x:v>
      </x:c>
    </x:row>
    <x:row r="987">
      <x:c r="C987" s="48" t="b">
        <x:v>0</x:v>
      </x:c>
      <x:c r="D987" s="48" t="b">
        <x:v>0</x:v>
      </x:c>
    </x:row>
    <x:row r="988">
      <x:c r="C988" s="48" t="b">
        <x:v>0</x:v>
      </x:c>
      <x:c r="D988" s="48" t="b">
        <x:v>0</x:v>
      </x:c>
    </x:row>
    <x:row r="989">
      <x:c r="C989" s="48" t="b">
        <x:v>0</x:v>
      </x:c>
      <x:c r="D989" s="48" t="b">
        <x:v>0</x:v>
      </x:c>
    </x:row>
    <x:row r="990">
      <x:c r="C990" s="48" t="b">
        <x:v>0</x:v>
      </x:c>
      <x:c r="D990" s="48" t="b">
        <x:v>0</x:v>
      </x:c>
    </x:row>
    <x:row r="991">
      <x:c r="C991" s="48" t="b">
        <x:v>0</x:v>
      </x:c>
      <x:c r="D991" s="48" t="b">
        <x:v>0</x:v>
      </x:c>
    </x:row>
    <x:row r="992">
      <x:c r="C992" s="48" t="b">
        <x:v>0</x:v>
      </x:c>
      <x:c r="D992" s="48" t="b">
        <x:v>0</x:v>
      </x:c>
    </x:row>
    <x:row r="993">
      <x:c r="C993" s="48" t="b">
        <x:v>0</x:v>
      </x:c>
      <x:c r="D993" s="48" t="b">
        <x:v>0</x:v>
      </x:c>
    </x:row>
    <x:row r="994">
      <x:c r="C994" s="48" t="b">
        <x:v>0</x:v>
      </x:c>
      <x:c r="D994" s="48" t="b">
        <x:v>0</x:v>
      </x:c>
    </x:row>
    <x:row r="995">
      <x:c r="C995" s="48" t="b">
        <x:v>0</x:v>
      </x:c>
      <x:c r="D995" s="48" t="b">
        <x:v>0</x:v>
      </x:c>
    </x:row>
    <x:row r="996">
      <x:c r="C996" s="48" t="b">
        <x:v>0</x:v>
      </x:c>
      <x:c r="D996" s="48" t="b">
        <x:v>0</x:v>
      </x:c>
    </x:row>
    <x:row r="997">
      <x:c r="C997" s="48" t="b">
        <x:v>0</x:v>
      </x:c>
      <x:c r="D997" s="48" t="b">
        <x:v>0</x:v>
      </x:c>
    </x:row>
    <x:row r="998">
      <x:c r="C998" s="48" t="b">
        <x:v>0</x:v>
      </x:c>
      <x:c r="D998" s="48" t="b">
        <x:v>0</x:v>
      </x:c>
    </x:row>
    <x:row r="999">
      <x:c r="C999" s="48" t="b">
        <x:v>0</x:v>
      </x:c>
      <x:c r="D999" s="48" t="b">
        <x:v>0</x:v>
      </x:c>
    </x:row>
    <x:row r="1000">
      <x:c r="C1000" s="48" t="b">
        <x:v>0</x:v>
      </x:c>
      <x:c r="D1000" s="48" t="b">
        <x:v>0</x:v>
      </x:c>
    </x:row>
  </x:sheetData>
  <x:pageMargins left="0.7" right="0.7" top="0.75" bottom="0.75" header="0.3" footer="0.3"/>
</x:worksheet>
</file>